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oles" sheetId="2" state="visible" r:id="rId2"/>
    <sheet name="Resumen" sheetId="3" state="visible" r:id="rId3"/>
    <sheet name="Gráficas" sheetId="4" state="visible" r:id="rId4"/>
    <sheet name="Medio3D" sheetId="5" state="visible" r:id="rId5"/>
    <sheet name="Compar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3" borderId="0" pivotButton="0" quotePrefix="0" xfId="0"/>
    <xf numFmtId="2" fontId="4" fillId="3" borderId="0" pivotButton="0" quotePrefix="0" xfId="0"/>
    <xf numFmtId="0" fontId="5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MD2 7 días: media de réplicas biológicas (MD2 1 y 2) vs 0d MD2, YWHAZ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'Resumen'!J38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Resumen!$L$39:$L$43</f>
              </numRef>
            </minus>
            <plus>
              <numRef>
                <f>Resumen!$L$39:$L$43</f>
              </numRef>
            </plus>
          </errBars>
          <cat>
            <numRef>
              <f>'Resumen'!$I$39:$I$43</f>
            </numRef>
          </cat>
          <val>
            <numRef>
              <f>'Resumen'!$J$39:$J$43</f>
            </numRef>
          </val>
        </ser>
        <ser>
          <idx val="1"/>
          <order val="1"/>
          <tx>
            <strRef>
              <f>'Resumen'!K38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Resumen!$M$39:$M$43</f>
              </numRef>
            </minus>
            <plus>
              <numRef>
                <f>Resumen!$M$39:$M$43</f>
              </numRef>
            </plus>
          </errBars>
          <cat>
            <numRef>
              <f>'Resumen'!$I$39:$I$43</f>
            </numRef>
          </cat>
          <val>
            <numRef>
              <f>'Resumen'!$K$39:$K$43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0.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RQ (2^-ΔΔCt)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7 días: MD2 (media de 2 réplicas biológicas) vs MD3, relativo a su control 0d, YWHAZ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'Resumen'!J49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Resumen!$L$50:$L$54</f>
              </numRef>
            </minus>
            <plus>
              <numRef>
                <f>Resumen!$L$50:$L$54</f>
              </numRef>
            </plus>
          </errBars>
          <cat>
            <numRef>
              <f>'Resumen'!$I$50:$I$54</f>
            </numRef>
          </cat>
          <val>
            <numRef>
              <f>'Resumen'!$J$50:$J$54</f>
            </numRef>
          </val>
        </ser>
        <ser>
          <idx val="1"/>
          <order val="1"/>
          <tx>
            <strRef>
              <f>'Resumen'!K49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Resumen!$M$50:$M$54</f>
              </numRef>
            </minus>
            <plus>
              <numRef>
                <f>Resumen!$M$50:$M$54</f>
              </numRef>
            </plus>
          </errBars>
          <cat>
            <numRef>
              <f>'Resumen'!$I$50:$I$54</f>
            </numRef>
          </cat>
          <val>
            <numRef>
              <f>'Resumen'!$K$50:$K$54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0.0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RQ (2^-ΔΔCt)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Expresión relativa MD2 (vs KerCT 0 días MD2), YWHAZ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'Resumen'!J4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Resumen!$J$13:$J$17</f>
              </numRef>
            </minus>
            <plus>
              <numRef>
                <f>Resumen!$J$13:$J$17</f>
              </numRef>
            </plus>
          </errBars>
          <cat>
            <numRef>
              <f>'Resumen'!$I$5:$I$9</f>
            </numRef>
          </cat>
          <val>
            <numRef>
              <f>'Resumen'!$J$5:$J$9</f>
            </numRef>
          </val>
        </ser>
        <ser>
          <idx val="1"/>
          <order val="1"/>
          <tx>
            <strRef>
              <f>'Resumen'!K4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Resumen!$K$13:$K$17</f>
              </numRef>
            </minus>
            <plus>
              <numRef>
                <f>Resumen!$K$13:$K$17</f>
              </numRef>
            </plus>
          </errBars>
          <cat>
            <numRef>
              <f>'Resumen'!$I$5:$I$9</f>
            </numRef>
          </cat>
          <val>
            <numRef>
              <f>'Resumen'!$K$5:$K$9</f>
            </numRef>
          </val>
        </ser>
        <ser>
          <idx val="2"/>
          <order val="2"/>
          <tx>
            <strRef>
              <f>'Resumen'!L4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Resumen!$L$13:$L$17</f>
              </numRef>
            </minus>
            <plus>
              <numRef>
                <f>Resumen!$L$13:$L$17</f>
              </numRef>
            </plus>
          </errBars>
          <cat>
            <numRef>
              <f>'Resumen'!$I$5:$I$9</f>
            </numRef>
          </cat>
          <val>
            <numRef>
              <f>'Resumen'!$L$5:$L$9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0.0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RQ (2^-ΔΔCt)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Expresión relativa MD3 (vs KerCT 0 días MD3), YWHAZ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'Resumen'!J21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Resumen!$J$30:$J$34</f>
              </numRef>
            </minus>
            <plus>
              <numRef>
                <f>Resumen!$J$30:$J$34</f>
              </numRef>
            </plus>
          </errBars>
          <cat>
            <numRef>
              <f>'Resumen'!$I$22:$I$26</f>
            </numRef>
          </cat>
          <val>
            <numRef>
              <f>'Resumen'!$J$22:$J$26</f>
            </numRef>
          </val>
        </ser>
        <ser>
          <idx val="1"/>
          <order val="1"/>
          <tx>
            <strRef>
              <f>'Resumen'!K21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Resumen!$K$30:$K$34</f>
              </numRef>
            </minus>
            <plus>
              <numRef>
                <f>Resumen!$K$30:$K$34</f>
              </numRef>
            </plus>
          </errBars>
          <cat>
            <numRef>
              <f>'Resumen'!$I$22:$I$26</f>
            </numRef>
          </cat>
          <val>
            <numRef>
              <f>'Resumen'!$K$22:$K$26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0.0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RQ (2^-ΔΔCt)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7 días: MD2 vs Medio 3D (media ± SD entre réplicas biológicas)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'Comparación'!B4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'Comparación'!$D$5:$D$9</f>
              </numRef>
            </minus>
            <plus>
              <numRef>
                <f>'Comparación'!$D$5:$D$9</f>
              </numRef>
            </plus>
          </errBars>
          <cat>
            <numRef>
              <f>'Comparación'!$A$5:$A$9</f>
            </numRef>
          </cat>
          <val>
            <numRef>
              <f>'Comparación'!$B$5:$B$9</f>
            </numRef>
          </val>
        </ser>
        <ser>
          <idx val="1"/>
          <order val="1"/>
          <tx>
            <strRef>
              <f>'Comparación'!C4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'Comparación'!$E$5:$E$9</f>
              </numRef>
            </minus>
            <plus>
              <numRef>
                <f>'Comparación'!$E$5:$E$9</f>
              </numRef>
            </plus>
          </errBars>
          <cat>
            <numRef>
              <f>'Comparación'!$A$5:$A$9</f>
            </numRef>
          </cat>
          <val>
            <numRef>
              <f>'Comparación'!$C$5:$C$9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0.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RQ (relativo a su día 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Medio 3D: evolución a 7, 14 y 20 días (media ± SD entre réplicas)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'Comparación'!B12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'Comparación'!$E$13:$E$18</f>
              </numRef>
            </minus>
            <plus>
              <numRef>
                <f>'Comparación'!$E$13:$E$18</f>
              </numRef>
            </plus>
          </errBars>
          <cat>
            <numRef>
              <f>'Comparación'!$A$13:$A$18</f>
            </numRef>
          </cat>
          <val>
            <numRef>
              <f>'Comparación'!$B$13:$B$18</f>
            </numRef>
          </val>
        </ser>
        <ser>
          <idx val="1"/>
          <order val="1"/>
          <tx>
            <strRef>
              <f>'Comparación'!C12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'Comparación'!$F$13:$F$18</f>
              </numRef>
            </minus>
            <plus>
              <numRef>
                <f>'Comparación'!$F$13:$F$18</f>
              </numRef>
            </plus>
          </errBars>
          <cat>
            <numRef>
              <f>'Comparación'!$A$13:$A$18</f>
            </numRef>
          </cat>
          <val>
            <numRef>
              <f>'Comparación'!$C$13:$C$18</f>
            </numRef>
          </val>
        </ser>
        <ser>
          <idx val="2"/>
          <order val="2"/>
          <tx>
            <strRef>
              <f>'Comparación'!D12</f>
            </strRef>
          </tx>
          <spPr>
            <a:ln>
              <a:prstDash val="solid"/>
            </a:ln>
          </spPr>
          <errBars>
            <errBarType val="both"/>
            <errValType val="cust"/>
            <noEndCap val="0"/>
            <minus>
              <numRef>
                <f>'Comparación'!$G$13:$G$18</f>
              </numRef>
            </minus>
            <plus>
              <numRef>
                <f>'Comparación'!$G$13:$G$18</f>
              </numRef>
            </plus>
          </errBars>
          <cat>
            <numRef>
              <f>'Comparación'!$A$13:$A$18</f>
            </numRef>
          </cat>
          <val>
            <numRef>
              <f>'Comparación'!$D$13:$D$18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0.0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RQ (relativo a su día 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46</row>
      <rowOff>0</rowOff>
    </from>
    <ext cx="79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68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24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8" customWidth="1" min="4" max="4"/>
    <col width="12" customWidth="1" min="5" max="5"/>
    <col width="48" customWidth="1" min="6" max="6"/>
    <col width="20" customWidth="1" min="7" max="7"/>
    <col width="16" customWidth="1" min="8" max="8"/>
    <col width="9" customWidth="1" min="9" max="9"/>
    <col width="14" customWidth="1" min="10" max="10"/>
    <col width="14" customWidth="1" min="11" max="11"/>
    <col width="10" customWidth="1" min="12" max="12"/>
  </cols>
  <sheetData>
    <row r="1">
      <c r="A1" s="1" t="inlineStr">
        <is>
          <t>Datos crudos de Ct y cálculo por pocillo (ΔΔCt, housekeeping YWHAZ)</t>
        </is>
      </c>
    </row>
    <row r="2">
      <c r="A2" s="2" t="inlineStr">
        <is>
          <t>Columna E (azul) = 1 incluye el pocillo, 0 lo excluye. Cámbiala y todo se recalcula. Criterio de exclusión: SD del triplicado &gt; 0,3 Ct → se quita el punto que más reduce la SD (máx. 1 por triplicado).</t>
        </is>
      </c>
    </row>
    <row r="4" ht="45" customHeight="1">
      <c r="A4" s="3" t="inlineStr">
        <is>
          <t>Pocillo</t>
        </is>
      </c>
      <c r="B4" s="3" t="inlineStr">
        <is>
          <t>Muestra</t>
        </is>
      </c>
      <c r="C4" s="3" t="inlineStr">
        <is>
          <t>Gen</t>
        </is>
      </c>
      <c r="D4" s="3" t="inlineStr">
        <is>
          <t>Ct</t>
        </is>
      </c>
      <c r="E4" s="3" t="inlineStr">
        <is>
          <t>Incluir (1/0)</t>
        </is>
      </c>
      <c r="F4" s="3" t="inlineStr">
        <is>
          <t>Motivo exclusión</t>
        </is>
      </c>
      <c r="G4" s="3" t="inlineStr">
        <is>
          <t>Control</t>
        </is>
      </c>
      <c r="H4" s="3" t="inlineStr">
        <is>
          <t>Ct medio YWHAZ (muestra)</t>
        </is>
      </c>
      <c r="I4" s="3" t="inlineStr">
        <is>
          <t>ΔCt</t>
        </is>
      </c>
      <c r="J4" s="3" t="inlineStr">
        <is>
          <t>ΔCt medio control</t>
        </is>
      </c>
      <c r="K4" s="3" t="inlineStr">
        <is>
          <t>RQ (2^-ΔΔCt)</t>
        </is>
      </c>
      <c r="L4" s="3" t="inlineStr">
        <is>
          <t>RQ²</t>
        </is>
      </c>
    </row>
    <row r="5">
      <c r="A5" s="4" t="inlineStr">
        <is>
          <t>B4</t>
        </is>
      </c>
      <c r="B5" s="4" t="inlineStr">
        <is>
          <t>KerCT 0 días MD2</t>
        </is>
      </c>
      <c r="C5" s="4" t="inlineStr">
        <is>
          <t>YWHAZ</t>
        </is>
      </c>
      <c r="D5" s="5" t="n">
        <v>16.51155090332031</v>
      </c>
      <c r="E5" s="6" t="n">
        <v>1</v>
      </c>
      <c r="F5" s="4" t="n"/>
      <c r="G5" s="4">
        <f>INDEX(Controles!$B$5:$B$9,MATCH(B5,Controles!$A$5:$A$9,0))</f>
        <v/>
      </c>
      <c r="H5" s="5">
        <f>AVERAGEIFS($D$5:$D$94,$B$5:$B$94,B5,$C$5:$C$94,"YWHAZ",$E$5:$E$94,1)</f>
        <v/>
      </c>
      <c r="I5" s="4" t="n"/>
      <c r="J5" s="4" t="n"/>
      <c r="K5" s="4" t="n"/>
      <c r="L5" s="4" t="n"/>
    </row>
    <row r="6">
      <c r="A6" s="4" t="inlineStr">
        <is>
          <t>B5</t>
        </is>
      </c>
      <c r="B6" s="4" t="inlineStr">
        <is>
          <t>KerCT 0 días MD2</t>
        </is>
      </c>
      <c r="C6" s="4" t="inlineStr">
        <is>
          <t>YWHAZ</t>
        </is>
      </c>
      <c r="D6" s="5" t="n">
        <v>16.29054069519043</v>
      </c>
      <c r="E6" s="6" t="n">
        <v>1</v>
      </c>
      <c r="F6" s="4" t="n"/>
      <c r="G6" s="4">
        <f>INDEX(Controles!$B$5:$B$9,MATCH(B6,Controles!$A$5:$A$9,0))</f>
        <v/>
      </c>
      <c r="H6" s="5">
        <f>AVERAGEIFS($D$5:$D$94,$B$5:$B$94,B6,$C$5:$C$94,"YWHAZ",$E$5:$E$94,1)</f>
        <v/>
      </c>
      <c r="I6" s="4" t="n"/>
      <c r="J6" s="4" t="n"/>
      <c r="K6" s="4" t="n"/>
      <c r="L6" s="4" t="n"/>
    </row>
    <row r="7">
      <c r="A7" s="4" t="inlineStr">
        <is>
          <t>B6</t>
        </is>
      </c>
      <c r="B7" s="4" t="inlineStr">
        <is>
          <t>KerCT 0 días MD2</t>
        </is>
      </c>
      <c r="C7" s="4" t="inlineStr">
        <is>
          <t>YWHAZ</t>
        </is>
      </c>
      <c r="D7" s="5" t="n">
        <v>16.58941841125488</v>
      </c>
      <c r="E7" s="6" t="n">
        <v>1</v>
      </c>
      <c r="F7" s="4" t="n"/>
      <c r="G7" s="4">
        <f>INDEX(Controles!$B$5:$B$9,MATCH(B7,Controles!$A$5:$A$9,0))</f>
        <v/>
      </c>
      <c r="H7" s="5">
        <f>AVERAGEIFS($D$5:$D$94,$B$5:$B$94,B7,$C$5:$C$94,"YWHAZ",$E$5:$E$94,1)</f>
        <v/>
      </c>
      <c r="I7" s="4" t="n"/>
      <c r="J7" s="4" t="n"/>
      <c r="K7" s="4" t="n"/>
      <c r="L7" s="4" t="n"/>
    </row>
    <row r="8">
      <c r="A8" s="4" t="inlineStr">
        <is>
          <t>A1</t>
        </is>
      </c>
      <c r="B8" s="4" t="inlineStr">
        <is>
          <t>KerCT 0 días MD2</t>
        </is>
      </c>
      <c r="C8" s="4" t="inlineStr">
        <is>
          <t>KRT1</t>
        </is>
      </c>
      <c r="D8" s="5" t="n">
        <v>32.4504508972168</v>
      </c>
      <c r="E8" s="6" t="n">
        <v>1</v>
      </c>
      <c r="F8" s="4" t="n"/>
      <c r="G8" s="4">
        <f>INDEX(Controles!$B$5:$B$9,MATCH(B8,Controles!$A$5:$A$9,0))</f>
        <v/>
      </c>
      <c r="H8" s="5">
        <f>AVERAGEIFS($D$5:$D$94,$B$5:$B$94,B8,$C$5:$C$94,"YWHAZ",$E$5:$E$94,1)</f>
        <v/>
      </c>
      <c r="I8" s="5">
        <f>D8-H8</f>
        <v/>
      </c>
      <c r="J8" s="5">
        <f>AVERAGEIFS($I$5:$I$94,$B$5:$B$94,G8,$C$5:$C$94,C8,$E$5:$E$94,1)</f>
        <v/>
      </c>
      <c r="K8" s="7">
        <f>IF(E8=1,2^-(I8-J8),"")</f>
        <v/>
      </c>
      <c r="L8" s="8">
        <f>IF(E8=1,K8*K8,0)</f>
        <v/>
      </c>
    </row>
    <row r="9">
      <c r="A9" s="9" t="inlineStr">
        <is>
          <t>A2</t>
        </is>
      </c>
      <c r="B9" s="9" t="inlineStr">
        <is>
          <t>KerCT 0 días MD2</t>
        </is>
      </c>
      <c r="C9" s="9" t="inlineStr">
        <is>
          <t>KRT1</t>
        </is>
      </c>
      <c r="D9" s="10" t="n">
        <v>31.17871856689453</v>
      </c>
      <c r="E9" s="11" t="n">
        <v>0</v>
      </c>
      <c r="F9" s="9" t="inlineStr">
        <is>
          <t>Fuera de la media: SD triplicado 0.78 → 0.10 Ct al quitarlo</t>
        </is>
      </c>
      <c r="G9" s="9">
        <f>INDEX(Controles!$B$5:$B$9,MATCH(B9,Controles!$A$5:$A$9,0))</f>
        <v/>
      </c>
      <c r="H9" s="10">
        <f>AVERAGEIFS($D$5:$D$94,$B$5:$B$94,B9,$C$5:$C$94,"YWHAZ",$E$5:$E$94,1)</f>
        <v/>
      </c>
      <c r="I9" s="10">
        <f>D9-H9</f>
        <v/>
      </c>
      <c r="J9" s="10">
        <f>AVERAGEIFS($I$5:$I$94,$B$5:$B$94,G9,$C$5:$C$94,C9,$E$5:$E$94,1)</f>
        <v/>
      </c>
      <c r="K9" s="12">
        <f>IF(E9=1,2^-(I9-J9),"")</f>
        <v/>
      </c>
      <c r="L9" s="13">
        <f>IF(E9=1,K9*K9,0)</f>
        <v/>
      </c>
    </row>
    <row r="10">
      <c r="A10" s="4" t="inlineStr">
        <is>
          <t>A3</t>
        </is>
      </c>
      <c r="B10" s="4" t="inlineStr">
        <is>
          <t>KerCT 0 días MD2</t>
        </is>
      </c>
      <c r="C10" s="4" t="inlineStr">
        <is>
          <t>KRT1</t>
        </is>
      </c>
      <c r="D10" s="5" t="n">
        <v>32.58996963500977</v>
      </c>
      <c r="E10" s="6" t="n">
        <v>1</v>
      </c>
      <c r="F10" s="4" t="n"/>
      <c r="G10" s="4">
        <f>INDEX(Controles!$B$5:$B$9,MATCH(B10,Controles!$A$5:$A$9,0))</f>
        <v/>
      </c>
      <c r="H10" s="5">
        <f>AVERAGEIFS($D$5:$D$94,$B$5:$B$94,B10,$C$5:$C$94,"YWHAZ",$E$5:$E$94,1)</f>
        <v/>
      </c>
      <c r="I10" s="5">
        <f>D10-H10</f>
        <v/>
      </c>
      <c r="J10" s="5">
        <f>AVERAGEIFS($I$5:$I$94,$B$5:$B$94,G10,$C$5:$C$94,C10,$E$5:$E$94,1)</f>
        <v/>
      </c>
      <c r="K10" s="7">
        <f>IF(E10=1,2^-(I10-J10),"")</f>
        <v/>
      </c>
      <c r="L10" s="8">
        <f>IF(E10=1,K10*K10,0)</f>
        <v/>
      </c>
    </row>
    <row r="11">
      <c r="A11" s="4" t="inlineStr">
        <is>
          <t>A7</t>
        </is>
      </c>
      <c r="B11" s="4" t="inlineStr">
        <is>
          <t>KerCT 0 días MD2</t>
        </is>
      </c>
      <c r="C11" s="4" t="inlineStr">
        <is>
          <t>KRT2</t>
        </is>
      </c>
      <c r="D11" s="5" t="n">
        <v>31.74194526672363</v>
      </c>
      <c r="E11" s="6" t="n">
        <v>1</v>
      </c>
      <c r="F11" s="4" t="n"/>
      <c r="G11" s="4">
        <f>INDEX(Controles!$B$5:$B$9,MATCH(B11,Controles!$A$5:$A$9,0))</f>
        <v/>
      </c>
      <c r="H11" s="5">
        <f>AVERAGEIFS($D$5:$D$94,$B$5:$B$94,B11,$C$5:$C$94,"YWHAZ",$E$5:$E$94,1)</f>
        <v/>
      </c>
      <c r="I11" s="5">
        <f>D11-H11</f>
        <v/>
      </c>
      <c r="J11" s="5">
        <f>AVERAGEIFS($I$5:$I$94,$B$5:$B$94,G11,$C$5:$C$94,C11,$E$5:$E$94,1)</f>
        <v/>
      </c>
      <c r="K11" s="7">
        <f>IF(E11=1,2^-(I11-J11),"")</f>
        <v/>
      </c>
      <c r="L11" s="8">
        <f>IF(E11=1,K11*K11,0)</f>
        <v/>
      </c>
    </row>
    <row r="12">
      <c r="A12" s="4" t="inlineStr">
        <is>
          <t>A8</t>
        </is>
      </c>
      <c r="B12" s="4" t="inlineStr">
        <is>
          <t>KerCT 0 días MD2</t>
        </is>
      </c>
      <c r="C12" s="4" t="inlineStr">
        <is>
          <t>KRT2</t>
        </is>
      </c>
      <c r="D12" s="5" t="n">
        <v>31.54615211486816</v>
      </c>
      <c r="E12" s="6" t="n">
        <v>1</v>
      </c>
      <c r="F12" s="4" t="n"/>
      <c r="G12" s="4">
        <f>INDEX(Controles!$B$5:$B$9,MATCH(B12,Controles!$A$5:$A$9,0))</f>
        <v/>
      </c>
      <c r="H12" s="5">
        <f>AVERAGEIFS($D$5:$D$94,$B$5:$B$94,B12,$C$5:$C$94,"YWHAZ",$E$5:$E$94,1)</f>
        <v/>
      </c>
      <c r="I12" s="5">
        <f>D12-H12</f>
        <v/>
      </c>
      <c r="J12" s="5">
        <f>AVERAGEIFS($I$5:$I$94,$B$5:$B$94,G12,$C$5:$C$94,C12,$E$5:$E$94,1)</f>
        <v/>
      </c>
      <c r="K12" s="7">
        <f>IF(E12=1,2^-(I12-J12),"")</f>
        <v/>
      </c>
      <c r="L12" s="8">
        <f>IF(E12=1,K12*K12,0)</f>
        <v/>
      </c>
    </row>
    <row r="13">
      <c r="A13" s="4" t="inlineStr">
        <is>
          <t>A9</t>
        </is>
      </c>
      <c r="B13" s="4" t="inlineStr">
        <is>
          <t>KerCT 0 días MD2</t>
        </is>
      </c>
      <c r="C13" s="4" t="inlineStr">
        <is>
          <t>KRT2</t>
        </is>
      </c>
      <c r="D13" s="5" t="n">
        <v>31.30464172363281</v>
      </c>
      <c r="E13" s="6" t="n">
        <v>1</v>
      </c>
      <c r="F13" s="4" t="n"/>
      <c r="G13" s="4">
        <f>INDEX(Controles!$B$5:$B$9,MATCH(B13,Controles!$A$5:$A$9,0))</f>
        <v/>
      </c>
      <c r="H13" s="5">
        <f>AVERAGEIFS($D$5:$D$94,$B$5:$B$94,B13,$C$5:$C$94,"YWHAZ",$E$5:$E$94,1)</f>
        <v/>
      </c>
      <c r="I13" s="5">
        <f>D13-H13</f>
        <v/>
      </c>
      <c r="J13" s="5">
        <f>AVERAGEIFS($I$5:$I$94,$B$5:$B$94,G13,$C$5:$C$94,C13,$E$5:$E$94,1)</f>
        <v/>
      </c>
      <c r="K13" s="7">
        <f>IF(E13=1,2^-(I13-J13),"")</f>
        <v/>
      </c>
      <c r="L13" s="8">
        <f>IF(E13=1,K13*K13,0)</f>
        <v/>
      </c>
    </row>
    <row r="14">
      <c r="A14" s="4" t="inlineStr">
        <is>
          <t>A4</t>
        </is>
      </c>
      <c r="B14" s="4" t="inlineStr">
        <is>
          <t>KerCT 0 días MD2</t>
        </is>
      </c>
      <c r="C14" s="4" t="inlineStr">
        <is>
          <t>KRT10</t>
        </is>
      </c>
      <c r="D14" s="5" t="n">
        <v>20.47018241882324</v>
      </c>
      <c r="E14" s="6" t="n">
        <v>1</v>
      </c>
      <c r="F14" s="4" t="n"/>
      <c r="G14" s="4">
        <f>INDEX(Controles!$B$5:$B$9,MATCH(B14,Controles!$A$5:$A$9,0))</f>
        <v/>
      </c>
      <c r="H14" s="5">
        <f>AVERAGEIFS($D$5:$D$94,$B$5:$B$94,B14,$C$5:$C$94,"YWHAZ",$E$5:$E$94,1)</f>
        <v/>
      </c>
      <c r="I14" s="5">
        <f>D14-H14</f>
        <v/>
      </c>
      <c r="J14" s="5">
        <f>AVERAGEIFS($I$5:$I$94,$B$5:$B$94,G14,$C$5:$C$94,C14,$E$5:$E$94,1)</f>
        <v/>
      </c>
      <c r="K14" s="7">
        <f>IF(E14=1,2^-(I14-J14),"")</f>
        <v/>
      </c>
      <c r="L14" s="8">
        <f>IF(E14=1,K14*K14,0)</f>
        <v/>
      </c>
    </row>
    <row r="15">
      <c r="A15" s="4" t="inlineStr">
        <is>
          <t>A5</t>
        </is>
      </c>
      <c r="B15" s="4" t="inlineStr">
        <is>
          <t>KerCT 0 días MD2</t>
        </is>
      </c>
      <c r="C15" s="4" t="inlineStr">
        <is>
          <t>KRT10</t>
        </is>
      </c>
      <c r="D15" s="5" t="n">
        <v>20.49617385864258</v>
      </c>
      <c r="E15" s="6" t="n">
        <v>1</v>
      </c>
      <c r="F15" s="4" t="n"/>
      <c r="G15" s="4">
        <f>INDEX(Controles!$B$5:$B$9,MATCH(B15,Controles!$A$5:$A$9,0))</f>
        <v/>
      </c>
      <c r="H15" s="5">
        <f>AVERAGEIFS($D$5:$D$94,$B$5:$B$94,B15,$C$5:$C$94,"YWHAZ",$E$5:$E$94,1)</f>
        <v/>
      </c>
      <c r="I15" s="5">
        <f>D15-H15</f>
        <v/>
      </c>
      <c r="J15" s="5">
        <f>AVERAGEIFS($I$5:$I$94,$B$5:$B$94,G15,$C$5:$C$94,C15,$E$5:$E$94,1)</f>
        <v/>
      </c>
      <c r="K15" s="7">
        <f>IF(E15=1,2^-(I15-J15),"")</f>
        <v/>
      </c>
      <c r="L15" s="8">
        <f>IF(E15=1,K15*K15,0)</f>
        <v/>
      </c>
    </row>
    <row r="16">
      <c r="A16" s="4" t="inlineStr">
        <is>
          <t>A6</t>
        </is>
      </c>
      <c r="B16" s="4" t="inlineStr">
        <is>
          <t>KerCT 0 días MD2</t>
        </is>
      </c>
      <c r="C16" s="4" t="inlineStr">
        <is>
          <t>KRT10</t>
        </is>
      </c>
      <c r="D16" s="5" t="n">
        <v>20.61949729919434</v>
      </c>
      <c r="E16" s="6" t="n">
        <v>1</v>
      </c>
      <c r="F16" s="4" t="n"/>
      <c r="G16" s="4">
        <f>INDEX(Controles!$B$5:$B$9,MATCH(B16,Controles!$A$5:$A$9,0))</f>
        <v/>
      </c>
      <c r="H16" s="5">
        <f>AVERAGEIFS($D$5:$D$94,$B$5:$B$94,B16,$C$5:$C$94,"YWHAZ",$E$5:$E$94,1)</f>
        <v/>
      </c>
      <c r="I16" s="5">
        <f>D16-H16</f>
        <v/>
      </c>
      <c r="J16" s="5">
        <f>AVERAGEIFS($I$5:$I$94,$B$5:$B$94,G16,$C$5:$C$94,C16,$E$5:$E$94,1)</f>
        <v/>
      </c>
      <c r="K16" s="7">
        <f>IF(E16=1,2^-(I16-J16),"")</f>
        <v/>
      </c>
      <c r="L16" s="8">
        <f>IF(E16=1,K16*K16,0)</f>
        <v/>
      </c>
    </row>
    <row r="17">
      <c r="A17" s="4" t="inlineStr">
        <is>
          <t>A12</t>
        </is>
      </c>
      <c r="B17" s="4" t="inlineStr">
        <is>
          <t>KerCT 0 días MD2</t>
        </is>
      </c>
      <c r="C17" s="4" t="inlineStr">
        <is>
          <t>KRT14</t>
        </is>
      </c>
      <c r="D17" s="5" t="n">
        <v>19.84044075012207</v>
      </c>
      <c r="E17" s="6" t="n">
        <v>1</v>
      </c>
      <c r="F17" s="4" t="n"/>
      <c r="G17" s="4">
        <f>INDEX(Controles!$B$5:$B$9,MATCH(B17,Controles!$A$5:$A$9,0))</f>
        <v/>
      </c>
      <c r="H17" s="5">
        <f>AVERAGEIFS($D$5:$D$94,$B$5:$B$94,B17,$C$5:$C$94,"YWHAZ",$E$5:$E$94,1)</f>
        <v/>
      </c>
      <c r="I17" s="5">
        <f>D17-H17</f>
        <v/>
      </c>
      <c r="J17" s="5">
        <f>AVERAGEIFS($I$5:$I$94,$B$5:$B$94,G17,$C$5:$C$94,C17,$E$5:$E$94,1)</f>
        <v/>
      </c>
      <c r="K17" s="7">
        <f>IF(E17=1,2^-(I17-J17),"")</f>
        <v/>
      </c>
      <c r="L17" s="8">
        <f>IF(E17=1,K17*K17,0)</f>
        <v/>
      </c>
    </row>
    <row r="18">
      <c r="A18" s="4" t="inlineStr">
        <is>
          <t>B12</t>
        </is>
      </c>
      <c r="B18" s="4" t="inlineStr">
        <is>
          <t>KerCT 0 días MD2</t>
        </is>
      </c>
      <c r="C18" s="4" t="inlineStr">
        <is>
          <t>KRT14</t>
        </is>
      </c>
      <c r="D18" s="5" t="n">
        <v>19.86724090576172</v>
      </c>
      <c r="E18" s="6" t="n">
        <v>1</v>
      </c>
      <c r="F18" s="4" t="n"/>
      <c r="G18" s="4">
        <f>INDEX(Controles!$B$5:$B$9,MATCH(B18,Controles!$A$5:$A$9,0))</f>
        <v/>
      </c>
      <c r="H18" s="5">
        <f>AVERAGEIFS($D$5:$D$94,$B$5:$B$94,B18,$C$5:$C$94,"YWHAZ",$E$5:$E$94,1)</f>
        <v/>
      </c>
      <c r="I18" s="5">
        <f>D18-H18</f>
        <v/>
      </c>
      <c r="J18" s="5">
        <f>AVERAGEIFS($I$5:$I$94,$B$5:$B$94,G18,$C$5:$C$94,C18,$E$5:$E$94,1)</f>
        <v/>
      </c>
      <c r="K18" s="7">
        <f>IF(E18=1,2^-(I18-J18),"")</f>
        <v/>
      </c>
      <c r="L18" s="8">
        <f>IF(E18=1,K18*K18,0)</f>
        <v/>
      </c>
    </row>
    <row r="19">
      <c r="A19" s="4" t="inlineStr">
        <is>
          <t>C12</t>
        </is>
      </c>
      <c r="B19" s="4" t="inlineStr">
        <is>
          <t>KerCT 0 días MD2</t>
        </is>
      </c>
      <c r="C19" s="4" t="inlineStr">
        <is>
          <t>KRT14</t>
        </is>
      </c>
      <c r="D19" s="5" t="n">
        <v>19.53191375732422</v>
      </c>
      <c r="E19" s="6" t="n">
        <v>1</v>
      </c>
      <c r="F19" s="4" t="n"/>
      <c r="G19" s="4">
        <f>INDEX(Controles!$B$5:$B$9,MATCH(B19,Controles!$A$5:$A$9,0))</f>
        <v/>
      </c>
      <c r="H19" s="5">
        <f>AVERAGEIFS($D$5:$D$94,$B$5:$B$94,B19,$C$5:$C$94,"YWHAZ",$E$5:$E$94,1)</f>
        <v/>
      </c>
      <c r="I19" s="5">
        <f>D19-H19</f>
        <v/>
      </c>
      <c r="J19" s="5">
        <f>AVERAGEIFS($I$5:$I$94,$B$5:$B$94,G19,$C$5:$C$94,C19,$E$5:$E$94,1)</f>
        <v/>
      </c>
      <c r="K19" s="7">
        <f>IF(E19=1,2^-(I19-J19),"")</f>
        <v/>
      </c>
      <c r="L19" s="8">
        <f>IF(E19=1,K19*K19,0)</f>
        <v/>
      </c>
    </row>
    <row r="20">
      <c r="A20" s="9" t="inlineStr">
        <is>
          <t>B1</t>
        </is>
      </c>
      <c r="B20" s="9" t="inlineStr">
        <is>
          <t>KerCT 0 días MD2</t>
        </is>
      </c>
      <c r="C20" s="9" t="inlineStr">
        <is>
          <t>IVL</t>
        </is>
      </c>
      <c r="D20" s="10" t="n">
        <v>27.42720794677734</v>
      </c>
      <c r="E20" s="11" t="n">
        <v>0</v>
      </c>
      <c r="F20" s="9" t="inlineStr">
        <is>
          <t>Fuera de la media: SD triplicado 0.73 → 0.31 Ct al quitarlo</t>
        </is>
      </c>
      <c r="G20" s="9">
        <f>INDEX(Controles!$B$5:$B$9,MATCH(B20,Controles!$A$5:$A$9,0))</f>
        <v/>
      </c>
      <c r="H20" s="10">
        <f>AVERAGEIFS($D$5:$D$94,$B$5:$B$94,B20,$C$5:$C$94,"YWHAZ",$E$5:$E$94,1)</f>
        <v/>
      </c>
      <c r="I20" s="10">
        <f>D20-H20</f>
        <v/>
      </c>
      <c r="J20" s="10">
        <f>AVERAGEIFS($I$5:$I$94,$B$5:$B$94,G20,$C$5:$C$94,C20,$E$5:$E$94,1)</f>
        <v/>
      </c>
      <c r="K20" s="12">
        <f>IF(E20=1,2^-(I20-J20),"")</f>
        <v/>
      </c>
      <c r="L20" s="13">
        <f>IF(E20=1,K20*K20,0)</f>
        <v/>
      </c>
    </row>
    <row r="21">
      <c r="A21" s="4" t="inlineStr">
        <is>
          <t>B2</t>
        </is>
      </c>
      <c r="B21" s="4" t="inlineStr">
        <is>
          <t>KerCT 0 días MD2</t>
        </is>
      </c>
      <c r="C21" s="4" t="inlineStr">
        <is>
          <t>IVL</t>
        </is>
      </c>
      <c r="D21" s="5" t="n">
        <v>26.00030899047852</v>
      </c>
      <c r="E21" s="6" t="n">
        <v>1</v>
      </c>
      <c r="F21" s="4" t="n"/>
      <c r="G21" s="4">
        <f>INDEX(Controles!$B$5:$B$9,MATCH(B21,Controles!$A$5:$A$9,0))</f>
        <v/>
      </c>
      <c r="H21" s="5">
        <f>AVERAGEIFS($D$5:$D$94,$B$5:$B$94,B21,$C$5:$C$94,"YWHAZ",$E$5:$E$94,1)</f>
        <v/>
      </c>
      <c r="I21" s="5">
        <f>D21-H21</f>
        <v/>
      </c>
      <c r="J21" s="5">
        <f>AVERAGEIFS($I$5:$I$94,$B$5:$B$94,G21,$C$5:$C$94,C21,$E$5:$E$94,1)</f>
        <v/>
      </c>
      <c r="K21" s="7">
        <f>IF(E21=1,2^-(I21-J21),"")</f>
        <v/>
      </c>
      <c r="L21" s="8">
        <f>IF(E21=1,K21*K21,0)</f>
        <v/>
      </c>
    </row>
    <row r="22">
      <c r="A22" s="4" t="inlineStr">
        <is>
          <t>B3</t>
        </is>
      </c>
      <c r="B22" s="4" t="inlineStr">
        <is>
          <t>KerCT 0 días MD2</t>
        </is>
      </c>
      <c r="C22" s="4" t="inlineStr">
        <is>
          <t>IVL</t>
        </is>
      </c>
      <c r="D22" s="5" t="n">
        <v>26.44439506530762</v>
      </c>
      <c r="E22" s="6" t="n">
        <v>1</v>
      </c>
      <c r="F22" s="4" t="n"/>
      <c r="G22" s="4">
        <f>INDEX(Controles!$B$5:$B$9,MATCH(B22,Controles!$A$5:$A$9,0))</f>
        <v/>
      </c>
      <c r="H22" s="5">
        <f>AVERAGEIFS($D$5:$D$94,$B$5:$B$94,B22,$C$5:$C$94,"YWHAZ",$E$5:$E$94,1)</f>
        <v/>
      </c>
      <c r="I22" s="5">
        <f>D22-H22</f>
        <v/>
      </c>
      <c r="J22" s="5">
        <f>AVERAGEIFS($I$5:$I$94,$B$5:$B$94,G22,$C$5:$C$94,C22,$E$5:$E$94,1)</f>
        <v/>
      </c>
      <c r="K22" s="7">
        <f>IF(E22=1,2^-(I22-J22),"")</f>
        <v/>
      </c>
      <c r="L22" s="8">
        <f>IF(E22=1,K22*K22,0)</f>
        <v/>
      </c>
    </row>
    <row r="23">
      <c r="A23" s="4" t="inlineStr">
        <is>
          <t>D4</t>
        </is>
      </c>
      <c r="B23" s="4" t="inlineStr">
        <is>
          <t>KerCT 7 días MD2 1</t>
        </is>
      </c>
      <c r="C23" s="4" t="inlineStr">
        <is>
          <t>YWHAZ</t>
        </is>
      </c>
      <c r="D23" s="5" t="n">
        <v>15.99333190917969</v>
      </c>
      <c r="E23" s="6" t="n">
        <v>1</v>
      </c>
      <c r="F23" s="4" t="n"/>
      <c r="G23" s="4">
        <f>INDEX(Controles!$B$5:$B$9,MATCH(B23,Controles!$A$5:$A$9,0))</f>
        <v/>
      </c>
      <c r="H23" s="5">
        <f>AVERAGEIFS($D$5:$D$94,$B$5:$B$94,B23,$C$5:$C$94,"YWHAZ",$E$5:$E$94,1)</f>
        <v/>
      </c>
      <c r="I23" s="4" t="n"/>
      <c r="J23" s="4" t="n"/>
      <c r="K23" s="4" t="n"/>
      <c r="L23" s="4" t="n"/>
    </row>
    <row r="24">
      <c r="A24" s="4" t="inlineStr">
        <is>
          <t>D5</t>
        </is>
      </c>
      <c r="B24" s="4" t="inlineStr">
        <is>
          <t>KerCT 7 días MD2 1</t>
        </is>
      </c>
      <c r="C24" s="4" t="inlineStr">
        <is>
          <t>YWHAZ</t>
        </is>
      </c>
      <c r="D24" s="5" t="n">
        <v>16.12092971801758</v>
      </c>
      <c r="E24" s="6" t="n">
        <v>1</v>
      </c>
      <c r="F24" s="4" t="n"/>
      <c r="G24" s="4">
        <f>INDEX(Controles!$B$5:$B$9,MATCH(B24,Controles!$A$5:$A$9,0))</f>
        <v/>
      </c>
      <c r="H24" s="5">
        <f>AVERAGEIFS($D$5:$D$94,$B$5:$B$94,B24,$C$5:$C$94,"YWHAZ",$E$5:$E$94,1)</f>
        <v/>
      </c>
      <c r="I24" s="4" t="n"/>
      <c r="J24" s="4" t="n"/>
      <c r="K24" s="4" t="n"/>
      <c r="L24" s="4" t="n"/>
    </row>
    <row r="25">
      <c r="A25" s="4" t="inlineStr">
        <is>
          <t>D6</t>
        </is>
      </c>
      <c r="B25" s="4" t="inlineStr">
        <is>
          <t>KerCT 7 días MD2 1</t>
        </is>
      </c>
      <c r="C25" s="4" t="inlineStr">
        <is>
          <t>YWHAZ</t>
        </is>
      </c>
      <c r="D25" s="5" t="n">
        <v>16.11153030395508</v>
      </c>
      <c r="E25" s="6" t="n">
        <v>1</v>
      </c>
      <c r="F25" s="4" t="n"/>
      <c r="G25" s="4">
        <f>INDEX(Controles!$B$5:$B$9,MATCH(B25,Controles!$A$5:$A$9,0))</f>
        <v/>
      </c>
      <c r="H25" s="5">
        <f>AVERAGEIFS($D$5:$D$94,$B$5:$B$94,B25,$C$5:$C$94,"YWHAZ",$E$5:$E$94,1)</f>
        <v/>
      </c>
      <c r="I25" s="4" t="n"/>
      <c r="J25" s="4" t="n"/>
      <c r="K25" s="4" t="n"/>
      <c r="L25" s="4" t="n"/>
    </row>
    <row r="26">
      <c r="A26" s="4" t="inlineStr">
        <is>
          <t>C1</t>
        </is>
      </c>
      <c r="B26" s="4" t="inlineStr">
        <is>
          <t>KerCT 7 días MD2 1</t>
        </is>
      </c>
      <c r="C26" s="4" t="inlineStr">
        <is>
          <t>KRT1</t>
        </is>
      </c>
      <c r="D26" s="5" t="n">
        <v>26.0641040802002</v>
      </c>
      <c r="E26" s="6" t="n">
        <v>1</v>
      </c>
      <c r="F26" s="4" t="n"/>
      <c r="G26" s="4">
        <f>INDEX(Controles!$B$5:$B$9,MATCH(B26,Controles!$A$5:$A$9,0))</f>
        <v/>
      </c>
      <c r="H26" s="5">
        <f>AVERAGEIFS($D$5:$D$94,$B$5:$B$94,B26,$C$5:$C$94,"YWHAZ",$E$5:$E$94,1)</f>
        <v/>
      </c>
      <c r="I26" s="5">
        <f>D26-H26</f>
        <v/>
      </c>
      <c r="J26" s="5">
        <f>AVERAGEIFS($I$5:$I$94,$B$5:$B$94,G26,$C$5:$C$94,C26,$E$5:$E$94,1)</f>
        <v/>
      </c>
      <c r="K26" s="7">
        <f>IF(E26=1,2^-(I26-J26),"")</f>
        <v/>
      </c>
      <c r="L26" s="8">
        <f>IF(E26=1,K26*K26,0)</f>
        <v/>
      </c>
    </row>
    <row r="27">
      <c r="A27" s="4" t="inlineStr">
        <is>
          <t>C2</t>
        </is>
      </c>
      <c r="B27" s="4" t="inlineStr">
        <is>
          <t>KerCT 7 días MD2 1</t>
        </is>
      </c>
      <c r="C27" s="4" t="inlineStr">
        <is>
          <t>KRT1</t>
        </is>
      </c>
      <c r="D27" s="5" t="n">
        <v>26.18454933166504</v>
      </c>
      <c r="E27" s="6" t="n">
        <v>1</v>
      </c>
      <c r="F27" s="4" t="n"/>
      <c r="G27" s="4">
        <f>INDEX(Controles!$B$5:$B$9,MATCH(B27,Controles!$A$5:$A$9,0))</f>
        <v/>
      </c>
      <c r="H27" s="5">
        <f>AVERAGEIFS($D$5:$D$94,$B$5:$B$94,B27,$C$5:$C$94,"YWHAZ",$E$5:$E$94,1)</f>
        <v/>
      </c>
      <c r="I27" s="5">
        <f>D27-H27</f>
        <v/>
      </c>
      <c r="J27" s="5">
        <f>AVERAGEIFS($I$5:$I$94,$B$5:$B$94,G27,$C$5:$C$94,C27,$E$5:$E$94,1)</f>
        <v/>
      </c>
      <c r="K27" s="7">
        <f>IF(E27=1,2^-(I27-J27),"")</f>
        <v/>
      </c>
      <c r="L27" s="8">
        <f>IF(E27=1,K27*K27,0)</f>
        <v/>
      </c>
    </row>
    <row r="28">
      <c r="A28" s="4" t="inlineStr">
        <is>
          <t>C3</t>
        </is>
      </c>
      <c r="B28" s="4" t="inlineStr">
        <is>
          <t>KerCT 7 días MD2 1</t>
        </is>
      </c>
      <c r="C28" s="4" t="inlineStr">
        <is>
          <t>KRT1</t>
        </is>
      </c>
      <c r="D28" s="5" t="n">
        <v>25.86163139343262</v>
      </c>
      <c r="E28" s="6" t="n">
        <v>1</v>
      </c>
      <c r="F28" s="4" t="n"/>
      <c r="G28" s="4">
        <f>INDEX(Controles!$B$5:$B$9,MATCH(B28,Controles!$A$5:$A$9,0))</f>
        <v/>
      </c>
      <c r="H28" s="5">
        <f>AVERAGEIFS($D$5:$D$94,$B$5:$B$94,B28,$C$5:$C$94,"YWHAZ",$E$5:$E$94,1)</f>
        <v/>
      </c>
      <c r="I28" s="5">
        <f>D28-H28</f>
        <v/>
      </c>
      <c r="J28" s="5">
        <f>AVERAGEIFS($I$5:$I$94,$B$5:$B$94,G28,$C$5:$C$94,C28,$E$5:$E$94,1)</f>
        <v/>
      </c>
      <c r="K28" s="7">
        <f>IF(E28=1,2^-(I28-J28),"")</f>
        <v/>
      </c>
      <c r="L28" s="8">
        <f>IF(E28=1,K28*K28,0)</f>
        <v/>
      </c>
    </row>
    <row r="29">
      <c r="A29" s="4" t="inlineStr">
        <is>
          <t>C7</t>
        </is>
      </c>
      <c r="B29" s="4" t="inlineStr">
        <is>
          <t>KerCT 7 días MD2 1</t>
        </is>
      </c>
      <c r="C29" s="4" t="inlineStr">
        <is>
          <t>KRT2</t>
        </is>
      </c>
      <c r="D29" s="5" t="n">
        <v>29.77912902832031</v>
      </c>
      <c r="E29" s="6" t="n">
        <v>1</v>
      </c>
      <c r="F29" s="4" t="n"/>
      <c r="G29" s="4">
        <f>INDEX(Controles!$B$5:$B$9,MATCH(B29,Controles!$A$5:$A$9,0))</f>
        <v/>
      </c>
      <c r="H29" s="5">
        <f>AVERAGEIFS($D$5:$D$94,$B$5:$B$94,B29,$C$5:$C$94,"YWHAZ",$E$5:$E$94,1)</f>
        <v/>
      </c>
      <c r="I29" s="5">
        <f>D29-H29</f>
        <v/>
      </c>
      <c r="J29" s="5">
        <f>AVERAGEIFS($I$5:$I$94,$B$5:$B$94,G29,$C$5:$C$94,C29,$E$5:$E$94,1)</f>
        <v/>
      </c>
      <c r="K29" s="7">
        <f>IF(E29=1,2^-(I29-J29),"")</f>
        <v/>
      </c>
      <c r="L29" s="8">
        <f>IF(E29=1,K29*K29,0)</f>
        <v/>
      </c>
    </row>
    <row r="30">
      <c r="A30" s="4" t="inlineStr">
        <is>
          <t>C8</t>
        </is>
      </c>
      <c r="B30" s="4" t="inlineStr">
        <is>
          <t>KerCT 7 días MD2 1</t>
        </is>
      </c>
      <c r="C30" s="4" t="inlineStr">
        <is>
          <t>KRT2</t>
        </is>
      </c>
      <c r="D30" s="5" t="n">
        <v>29.91488456726074</v>
      </c>
      <c r="E30" s="6" t="n">
        <v>1</v>
      </c>
      <c r="F30" s="4" t="n"/>
      <c r="G30" s="4">
        <f>INDEX(Controles!$B$5:$B$9,MATCH(B30,Controles!$A$5:$A$9,0))</f>
        <v/>
      </c>
      <c r="H30" s="5">
        <f>AVERAGEIFS($D$5:$D$94,$B$5:$B$94,B30,$C$5:$C$94,"YWHAZ",$E$5:$E$94,1)</f>
        <v/>
      </c>
      <c r="I30" s="5">
        <f>D30-H30</f>
        <v/>
      </c>
      <c r="J30" s="5">
        <f>AVERAGEIFS($I$5:$I$94,$B$5:$B$94,G30,$C$5:$C$94,C30,$E$5:$E$94,1)</f>
        <v/>
      </c>
      <c r="K30" s="7">
        <f>IF(E30=1,2^-(I30-J30),"")</f>
        <v/>
      </c>
      <c r="L30" s="8">
        <f>IF(E30=1,K30*K30,0)</f>
        <v/>
      </c>
    </row>
    <row r="31">
      <c r="A31" s="4" t="inlineStr">
        <is>
          <t>C9</t>
        </is>
      </c>
      <c r="B31" s="4" t="inlineStr">
        <is>
          <t>KerCT 7 días MD2 1</t>
        </is>
      </c>
      <c r="C31" s="4" t="inlineStr">
        <is>
          <t>KRT2</t>
        </is>
      </c>
      <c r="D31" s="5" t="n">
        <v>29.79526519775391</v>
      </c>
      <c r="E31" s="6" t="n">
        <v>1</v>
      </c>
      <c r="F31" s="4" t="n"/>
      <c r="G31" s="4">
        <f>INDEX(Controles!$B$5:$B$9,MATCH(B31,Controles!$A$5:$A$9,0))</f>
        <v/>
      </c>
      <c r="H31" s="5">
        <f>AVERAGEIFS($D$5:$D$94,$B$5:$B$94,B31,$C$5:$C$94,"YWHAZ",$E$5:$E$94,1)</f>
        <v/>
      </c>
      <c r="I31" s="5">
        <f>D31-H31</f>
        <v/>
      </c>
      <c r="J31" s="5">
        <f>AVERAGEIFS($I$5:$I$94,$B$5:$B$94,G31,$C$5:$C$94,C31,$E$5:$E$94,1)</f>
        <v/>
      </c>
      <c r="K31" s="7">
        <f>IF(E31=1,2^-(I31-J31),"")</f>
        <v/>
      </c>
      <c r="L31" s="8">
        <f>IF(E31=1,K31*K31,0)</f>
        <v/>
      </c>
    </row>
    <row r="32">
      <c r="A32" s="4" t="inlineStr">
        <is>
          <t>C4</t>
        </is>
      </c>
      <c r="B32" s="4" t="inlineStr">
        <is>
          <t>KerCT 7 días MD2 1</t>
        </is>
      </c>
      <c r="C32" s="4" t="inlineStr">
        <is>
          <t>KRT10</t>
        </is>
      </c>
      <c r="D32" s="5" t="n">
        <v>15.54303932189941</v>
      </c>
      <c r="E32" s="6" t="n">
        <v>1</v>
      </c>
      <c r="F32" s="4" t="n"/>
      <c r="G32" s="4">
        <f>INDEX(Controles!$B$5:$B$9,MATCH(B32,Controles!$A$5:$A$9,0))</f>
        <v/>
      </c>
      <c r="H32" s="5">
        <f>AVERAGEIFS($D$5:$D$94,$B$5:$B$94,B32,$C$5:$C$94,"YWHAZ",$E$5:$E$94,1)</f>
        <v/>
      </c>
      <c r="I32" s="5">
        <f>D32-H32</f>
        <v/>
      </c>
      <c r="J32" s="5">
        <f>AVERAGEIFS($I$5:$I$94,$B$5:$B$94,G32,$C$5:$C$94,C32,$E$5:$E$94,1)</f>
        <v/>
      </c>
      <c r="K32" s="7">
        <f>IF(E32=1,2^-(I32-J32),"")</f>
        <v/>
      </c>
      <c r="L32" s="8">
        <f>IF(E32=1,K32*K32,0)</f>
        <v/>
      </c>
    </row>
    <row r="33">
      <c r="A33" s="4" t="inlineStr">
        <is>
          <t>C5</t>
        </is>
      </c>
      <c r="B33" s="4" t="inlineStr">
        <is>
          <t>KerCT 7 días MD2 1</t>
        </is>
      </c>
      <c r="C33" s="4" t="inlineStr">
        <is>
          <t>KRT10</t>
        </is>
      </c>
      <c r="D33" s="5" t="n">
        <v>15.51080989837646</v>
      </c>
      <c r="E33" s="6" t="n">
        <v>1</v>
      </c>
      <c r="F33" s="4" t="n"/>
      <c r="G33" s="4">
        <f>INDEX(Controles!$B$5:$B$9,MATCH(B33,Controles!$A$5:$A$9,0))</f>
        <v/>
      </c>
      <c r="H33" s="5">
        <f>AVERAGEIFS($D$5:$D$94,$B$5:$B$94,B33,$C$5:$C$94,"YWHAZ",$E$5:$E$94,1)</f>
        <v/>
      </c>
      <c r="I33" s="5">
        <f>D33-H33</f>
        <v/>
      </c>
      <c r="J33" s="5">
        <f>AVERAGEIFS($I$5:$I$94,$B$5:$B$94,G33,$C$5:$C$94,C33,$E$5:$E$94,1)</f>
        <v/>
      </c>
      <c r="K33" s="7">
        <f>IF(E33=1,2^-(I33-J33),"")</f>
        <v/>
      </c>
      <c r="L33" s="8">
        <f>IF(E33=1,K33*K33,0)</f>
        <v/>
      </c>
    </row>
    <row r="34">
      <c r="A34" s="4" t="inlineStr">
        <is>
          <t>C6</t>
        </is>
      </c>
      <c r="B34" s="4" t="inlineStr">
        <is>
          <t>KerCT 7 días MD2 1</t>
        </is>
      </c>
      <c r="C34" s="4" t="inlineStr">
        <is>
          <t>KRT10</t>
        </is>
      </c>
      <c r="D34" s="5" t="n">
        <v>15.51389598846436</v>
      </c>
      <c r="E34" s="6" t="n">
        <v>1</v>
      </c>
      <c r="F34" s="4" t="n"/>
      <c r="G34" s="4">
        <f>INDEX(Controles!$B$5:$B$9,MATCH(B34,Controles!$A$5:$A$9,0))</f>
        <v/>
      </c>
      <c r="H34" s="5">
        <f>AVERAGEIFS($D$5:$D$94,$B$5:$B$94,B34,$C$5:$C$94,"YWHAZ",$E$5:$E$94,1)</f>
        <v/>
      </c>
      <c r="I34" s="5">
        <f>D34-H34</f>
        <v/>
      </c>
      <c r="J34" s="5">
        <f>AVERAGEIFS($I$5:$I$94,$B$5:$B$94,G34,$C$5:$C$94,C34,$E$5:$E$94,1)</f>
        <v/>
      </c>
      <c r="K34" s="7">
        <f>IF(E34=1,2^-(I34-J34),"")</f>
        <v/>
      </c>
      <c r="L34" s="8">
        <f>IF(E34=1,K34*K34,0)</f>
        <v/>
      </c>
    </row>
    <row r="35">
      <c r="A35" s="4" t="inlineStr">
        <is>
          <t>D12</t>
        </is>
      </c>
      <c r="B35" s="4" t="inlineStr">
        <is>
          <t>KerCT 7 días MD2 1</t>
        </is>
      </c>
      <c r="C35" s="4" t="inlineStr">
        <is>
          <t>KRT14</t>
        </is>
      </c>
      <c r="D35" s="5" t="n">
        <v>20.9267463684082</v>
      </c>
      <c r="E35" s="6" t="n">
        <v>1</v>
      </c>
      <c r="F35" s="4" t="n"/>
      <c r="G35" s="4">
        <f>INDEX(Controles!$B$5:$B$9,MATCH(B35,Controles!$A$5:$A$9,0))</f>
        <v/>
      </c>
      <c r="H35" s="5">
        <f>AVERAGEIFS($D$5:$D$94,$B$5:$B$94,B35,$C$5:$C$94,"YWHAZ",$E$5:$E$94,1)</f>
        <v/>
      </c>
      <c r="I35" s="5">
        <f>D35-H35</f>
        <v/>
      </c>
      <c r="J35" s="5">
        <f>AVERAGEIFS($I$5:$I$94,$B$5:$B$94,G35,$C$5:$C$94,C35,$E$5:$E$94,1)</f>
        <v/>
      </c>
      <c r="K35" s="7">
        <f>IF(E35=1,2^-(I35-J35),"")</f>
        <v/>
      </c>
      <c r="L35" s="8">
        <f>IF(E35=1,K35*K35,0)</f>
        <v/>
      </c>
    </row>
    <row r="36">
      <c r="A36" s="4" t="inlineStr">
        <is>
          <t>E12</t>
        </is>
      </c>
      <c r="B36" s="4" t="inlineStr">
        <is>
          <t>KerCT 7 días MD2 1</t>
        </is>
      </c>
      <c r="C36" s="4" t="inlineStr">
        <is>
          <t>KRT14</t>
        </is>
      </c>
      <c r="D36" s="5" t="n">
        <v>21.11492729187012</v>
      </c>
      <c r="E36" s="6" t="n">
        <v>1</v>
      </c>
      <c r="F36" s="4" t="n"/>
      <c r="G36" s="4">
        <f>INDEX(Controles!$B$5:$B$9,MATCH(B36,Controles!$A$5:$A$9,0))</f>
        <v/>
      </c>
      <c r="H36" s="5">
        <f>AVERAGEIFS($D$5:$D$94,$B$5:$B$94,B36,$C$5:$C$94,"YWHAZ",$E$5:$E$94,1)</f>
        <v/>
      </c>
      <c r="I36" s="5">
        <f>D36-H36</f>
        <v/>
      </c>
      <c r="J36" s="5">
        <f>AVERAGEIFS($I$5:$I$94,$B$5:$B$94,G36,$C$5:$C$94,C36,$E$5:$E$94,1)</f>
        <v/>
      </c>
      <c r="K36" s="7">
        <f>IF(E36=1,2^-(I36-J36),"")</f>
        <v/>
      </c>
      <c r="L36" s="8">
        <f>IF(E36=1,K36*K36,0)</f>
        <v/>
      </c>
    </row>
    <row r="37">
      <c r="A37" s="4" t="inlineStr">
        <is>
          <t>F12</t>
        </is>
      </c>
      <c r="B37" s="4" t="inlineStr">
        <is>
          <t>KerCT 7 días MD2 1</t>
        </is>
      </c>
      <c r="C37" s="4" t="inlineStr">
        <is>
          <t>KRT14</t>
        </is>
      </c>
      <c r="D37" s="5" t="n">
        <v>20.6110782623291</v>
      </c>
      <c r="E37" s="6" t="n">
        <v>1</v>
      </c>
      <c r="F37" s="4" t="n"/>
      <c r="G37" s="4">
        <f>INDEX(Controles!$B$5:$B$9,MATCH(B37,Controles!$A$5:$A$9,0))</f>
        <v/>
      </c>
      <c r="H37" s="5">
        <f>AVERAGEIFS($D$5:$D$94,$B$5:$B$94,B37,$C$5:$C$94,"YWHAZ",$E$5:$E$94,1)</f>
        <v/>
      </c>
      <c r="I37" s="5">
        <f>D37-H37</f>
        <v/>
      </c>
      <c r="J37" s="5">
        <f>AVERAGEIFS($I$5:$I$94,$B$5:$B$94,G37,$C$5:$C$94,C37,$E$5:$E$94,1)</f>
        <v/>
      </c>
      <c r="K37" s="7">
        <f>IF(E37=1,2^-(I37-J37),"")</f>
        <v/>
      </c>
      <c r="L37" s="8">
        <f>IF(E37=1,K37*K37,0)</f>
        <v/>
      </c>
    </row>
    <row r="38">
      <c r="A38" s="4" t="inlineStr">
        <is>
          <t>D1</t>
        </is>
      </c>
      <c r="B38" s="4" t="inlineStr">
        <is>
          <t>KerCT 7 días MD2 1</t>
        </is>
      </c>
      <c r="C38" s="4" t="inlineStr">
        <is>
          <t>IVL</t>
        </is>
      </c>
      <c r="D38" s="5" t="n">
        <v>18.46528053283691</v>
      </c>
      <c r="E38" s="6" t="n">
        <v>1</v>
      </c>
      <c r="F38" s="4" t="n"/>
      <c r="G38" s="4">
        <f>INDEX(Controles!$B$5:$B$9,MATCH(B38,Controles!$A$5:$A$9,0))</f>
        <v/>
      </c>
      <c r="H38" s="5">
        <f>AVERAGEIFS($D$5:$D$94,$B$5:$B$94,B38,$C$5:$C$94,"YWHAZ",$E$5:$E$94,1)</f>
        <v/>
      </c>
      <c r="I38" s="5">
        <f>D38-H38</f>
        <v/>
      </c>
      <c r="J38" s="5">
        <f>AVERAGEIFS($I$5:$I$94,$B$5:$B$94,G38,$C$5:$C$94,C38,$E$5:$E$94,1)</f>
        <v/>
      </c>
      <c r="K38" s="7">
        <f>IF(E38=1,2^-(I38-J38),"")</f>
        <v/>
      </c>
      <c r="L38" s="8">
        <f>IF(E38=1,K38*K38,0)</f>
        <v/>
      </c>
    </row>
    <row r="39">
      <c r="A39" s="4" t="inlineStr">
        <is>
          <t>D2</t>
        </is>
      </c>
      <c r="B39" s="4" t="inlineStr">
        <is>
          <t>KerCT 7 días MD2 1</t>
        </is>
      </c>
      <c r="C39" s="4" t="inlineStr">
        <is>
          <t>IVL</t>
        </is>
      </c>
      <c r="D39" s="5" t="n">
        <v>18.32708358764648</v>
      </c>
      <c r="E39" s="6" t="n">
        <v>1</v>
      </c>
      <c r="F39" s="4" t="n"/>
      <c r="G39" s="4">
        <f>INDEX(Controles!$B$5:$B$9,MATCH(B39,Controles!$A$5:$A$9,0))</f>
        <v/>
      </c>
      <c r="H39" s="5">
        <f>AVERAGEIFS($D$5:$D$94,$B$5:$B$94,B39,$C$5:$C$94,"YWHAZ",$E$5:$E$94,1)</f>
        <v/>
      </c>
      <c r="I39" s="5">
        <f>D39-H39</f>
        <v/>
      </c>
      <c r="J39" s="5">
        <f>AVERAGEIFS($I$5:$I$94,$B$5:$B$94,G39,$C$5:$C$94,C39,$E$5:$E$94,1)</f>
        <v/>
      </c>
      <c r="K39" s="7">
        <f>IF(E39=1,2^-(I39-J39),"")</f>
        <v/>
      </c>
      <c r="L39" s="8">
        <f>IF(E39=1,K39*K39,0)</f>
        <v/>
      </c>
    </row>
    <row r="40">
      <c r="A40" s="4" t="inlineStr">
        <is>
          <t>D3</t>
        </is>
      </c>
      <c r="B40" s="4" t="inlineStr">
        <is>
          <t>KerCT 7 días MD2 1</t>
        </is>
      </c>
      <c r="C40" s="4" t="inlineStr">
        <is>
          <t>IVL</t>
        </is>
      </c>
      <c r="D40" s="5" t="n">
        <v>18.29316520690918</v>
      </c>
      <c r="E40" s="6" t="n">
        <v>1</v>
      </c>
      <c r="F40" s="4" t="n"/>
      <c r="G40" s="4">
        <f>INDEX(Controles!$B$5:$B$9,MATCH(B40,Controles!$A$5:$A$9,0))</f>
        <v/>
      </c>
      <c r="H40" s="5">
        <f>AVERAGEIFS($D$5:$D$94,$B$5:$B$94,B40,$C$5:$C$94,"YWHAZ",$E$5:$E$94,1)</f>
        <v/>
      </c>
      <c r="I40" s="5">
        <f>D40-H40</f>
        <v/>
      </c>
      <c r="J40" s="5">
        <f>AVERAGEIFS($I$5:$I$94,$B$5:$B$94,G40,$C$5:$C$94,C40,$E$5:$E$94,1)</f>
        <v/>
      </c>
      <c r="K40" s="7">
        <f>IF(E40=1,2^-(I40-J40),"")</f>
        <v/>
      </c>
      <c r="L40" s="8">
        <f>IF(E40=1,K40*K40,0)</f>
        <v/>
      </c>
    </row>
    <row r="41">
      <c r="A41" s="4" t="inlineStr">
        <is>
          <t>F4</t>
        </is>
      </c>
      <c r="B41" s="4" t="inlineStr">
        <is>
          <t>KerCT 7 días MD2 2</t>
        </is>
      </c>
      <c r="C41" s="4" t="inlineStr">
        <is>
          <t>YWHAZ</t>
        </is>
      </c>
      <c r="D41" s="5" t="n">
        <v>15.9128885269165</v>
      </c>
      <c r="E41" s="6" t="n">
        <v>1</v>
      </c>
      <c r="F41" s="4" t="n"/>
      <c r="G41" s="4">
        <f>INDEX(Controles!$B$5:$B$9,MATCH(B41,Controles!$A$5:$A$9,0))</f>
        <v/>
      </c>
      <c r="H41" s="5">
        <f>AVERAGEIFS($D$5:$D$94,$B$5:$B$94,B41,$C$5:$C$94,"YWHAZ",$E$5:$E$94,1)</f>
        <v/>
      </c>
      <c r="I41" s="4" t="n"/>
      <c r="J41" s="4" t="n"/>
      <c r="K41" s="4" t="n"/>
      <c r="L41" s="4" t="n"/>
    </row>
    <row r="42">
      <c r="A42" s="4" t="inlineStr">
        <is>
          <t>F5</t>
        </is>
      </c>
      <c r="B42" s="4" t="inlineStr">
        <is>
          <t>KerCT 7 días MD2 2</t>
        </is>
      </c>
      <c r="C42" s="4" t="inlineStr">
        <is>
          <t>YWHAZ</t>
        </is>
      </c>
      <c r="D42" s="5" t="n">
        <v>15.99413681030273</v>
      </c>
      <c r="E42" s="6" t="n">
        <v>1</v>
      </c>
      <c r="F42" s="4" t="n"/>
      <c r="G42" s="4">
        <f>INDEX(Controles!$B$5:$B$9,MATCH(B42,Controles!$A$5:$A$9,0))</f>
        <v/>
      </c>
      <c r="H42" s="5">
        <f>AVERAGEIFS($D$5:$D$94,$B$5:$B$94,B42,$C$5:$C$94,"YWHAZ",$E$5:$E$94,1)</f>
        <v/>
      </c>
      <c r="I42" s="4" t="n"/>
      <c r="J42" s="4" t="n"/>
      <c r="K42" s="4" t="n"/>
      <c r="L42" s="4" t="n"/>
    </row>
    <row r="43">
      <c r="A43" s="4" t="inlineStr">
        <is>
          <t>F6</t>
        </is>
      </c>
      <c r="B43" s="4" t="inlineStr">
        <is>
          <t>KerCT 7 días MD2 2</t>
        </is>
      </c>
      <c r="C43" s="4" t="inlineStr">
        <is>
          <t>YWHAZ</t>
        </is>
      </c>
      <c r="D43" s="5" t="n">
        <v>15.99852085113525</v>
      </c>
      <c r="E43" s="6" t="n">
        <v>1</v>
      </c>
      <c r="F43" s="4" t="n"/>
      <c r="G43" s="4">
        <f>INDEX(Controles!$B$5:$B$9,MATCH(B43,Controles!$A$5:$A$9,0))</f>
        <v/>
      </c>
      <c r="H43" s="5">
        <f>AVERAGEIFS($D$5:$D$94,$B$5:$B$94,B43,$C$5:$C$94,"YWHAZ",$E$5:$E$94,1)</f>
        <v/>
      </c>
      <c r="I43" s="4" t="n"/>
      <c r="J43" s="4" t="n"/>
      <c r="K43" s="4" t="n"/>
      <c r="L43" s="4" t="n"/>
    </row>
    <row r="44">
      <c r="A44" s="4" t="inlineStr">
        <is>
          <t>E1</t>
        </is>
      </c>
      <c r="B44" s="4" t="inlineStr">
        <is>
          <t>KerCT 7 días MD2 2</t>
        </is>
      </c>
      <c r="C44" s="4" t="inlineStr">
        <is>
          <t>KRT1</t>
        </is>
      </c>
      <c r="D44" s="5" t="n">
        <v>26.91909027099609</v>
      </c>
      <c r="E44" s="6" t="n">
        <v>1</v>
      </c>
      <c r="F44" s="4" t="n"/>
      <c r="G44" s="4">
        <f>INDEX(Controles!$B$5:$B$9,MATCH(B44,Controles!$A$5:$A$9,0))</f>
        <v/>
      </c>
      <c r="H44" s="5">
        <f>AVERAGEIFS($D$5:$D$94,$B$5:$B$94,B44,$C$5:$C$94,"YWHAZ",$E$5:$E$94,1)</f>
        <v/>
      </c>
      <c r="I44" s="5">
        <f>D44-H44</f>
        <v/>
      </c>
      <c r="J44" s="5">
        <f>AVERAGEIFS($I$5:$I$94,$B$5:$B$94,G44,$C$5:$C$94,C44,$E$5:$E$94,1)</f>
        <v/>
      </c>
      <c r="K44" s="7">
        <f>IF(E44=1,2^-(I44-J44),"")</f>
        <v/>
      </c>
      <c r="L44" s="8">
        <f>IF(E44=1,K44*K44,0)</f>
        <v/>
      </c>
    </row>
    <row r="45">
      <c r="A45" s="4" t="inlineStr">
        <is>
          <t>E2</t>
        </is>
      </c>
      <c r="B45" s="4" t="inlineStr">
        <is>
          <t>KerCT 7 días MD2 2</t>
        </is>
      </c>
      <c r="C45" s="4" t="inlineStr">
        <is>
          <t>KRT1</t>
        </is>
      </c>
      <c r="D45" s="5" t="n">
        <v>26.58210945129395</v>
      </c>
      <c r="E45" s="6" t="n">
        <v>1</v>
      </c>
      <c r="F45" s="4" t="n"/>
      <c r="G45" s="4">
        <f>INDEX(Controles!$B$5:$B$9,MATCH(B45,Controles!$A$5:$A$9,0))</f>
        <v/>
      </c>
      <c r="H45" s="5">
        <f>AVERAGEIFS($D$5:$D$94,$B$5:$B$94,B45,$C$5:$C$94,"YWHAZ",$E$5:$E$94,1)</f>
        <v/>
      </c>
      <c r="I45" s="5">
        <f>D45-H45</f>
        <v/>
      </c>
      <c r="J45" s="5">
        <f>AVERAGEIFS($I$5:$I$94,$B$5:$B$94,G45,$C$5:$C$94,C45,$E$5:$E$94,1)</f>
        <v/>
      </c>
      <c r="K45" s="7">
        <f>IF(E45=1,2^-(I45-J45),"")</f>
        <v/>
      </c>
      <c r="L45" s="8">
        <f>IF(E45=1,K45*K45,0)</f>
        <v/>
      </c>
    </row>
    <row r="46">
      <c r="A46" s="4" t="inlineStr">
        <is>
          <t>E3</t>
        </is>
      </c>
      <c r="B46" s="4" t="inlineStr">
        <is>
          <t>KerCT 7 días MD2 2</t>
        </is>
      </c>
      <c r="C46" s="4" t="inlineStr">
        <is>
          <t>KRT1</t>
        </is>
      </c>
      <c r="D46" s="5" t="n">
        <v>26.3277530670166</v>
      </c>
      <c r="E46" s="6" t="n">
        <v>1</v>
      </c>
      <c r="F46" s="4" t="n"/>
      <c r="G46" s="4">
        <f>INDEX(Controles!$B$5:$B$9,MATCH(B46,Controles!$A$5:$A$9,0))</f>
        <v/>
      </c>
      <c r="H46" s="5">
        <f>AVERAGEIFS($D$5:$D$94,$B$5:$B$94,B46,$C$5:$C$94,"YWHAZ",$E$5:$E$94,1)</f>
        <v/>
      </c>
      <c r="I46" s="5">
        <f>D46-H46</f>
        <v/>
      </c>
      <c r="J46" s="5">
        <f>AVERAGEIFS($I$5:$I$94,$B$5:$B$94,G46,$C$5:$C$94,C46,$E$5:$E$94,1)</f>
        <v/>
      </c>
      <c r="K46" s="7">
        <f>IF(E46=1,2^-(I46-J46),"")</f>
        <v/>
      </c>
      <c r="L46" s="8">
        <f>IF(E46=1,K46*K46,0)</f>
        <v/>
      </c>
    </row>
    <row r="47">
      <c r="A47" s="4" t="inlineStr">
        <is>
          <t>E7</t>
        </is>
      </c>
      <c r="B47" s="4" t="inlineStr">
        <is>
          <t>KerCT 7 días MD2 2</t>
        </is>
      </c>
      <c r="C47" s="4" t="inlineStr">
        <is>
          <t>KRT2</t>
        </is>
      </c>
      <c r="D47" s="5" t="n">
        <v>29.92770576477051</v>
      </c>
      <c r="E47" s="6" t="n">
        <v>1</v>
      </c>
      <c r="F47" s="4" t="n"/>
      <c r="G47" s="4">
        <f>INDEX(Controles!$B$5:$B$9,MATCH(B47,Controles!$A$5:$A$9,0))</f>
        <v/>
      </c>
      <c r="H47" s="5">
        <f>AVERAGEIFS($D$5:$D$94,$B$5:$B$94,B47,$C$5:$C$94,"YWHAZ",$E$5:$E$94,1)</f>
        <v/>
      </c>
      <c r="I47" s="5">
        <f>D47-H47</f>
        <v/>
      </c>
      <c r="J47" s="5">
        <f>AVERAGEIFS($I$5:$I$94,$B$5:$B$94,G47,$C$5:$C$94,C47,$E$5:$E$94,1)</f>
        <v/>
      </c>
      <c r="K47" s="7">
        <f>IF(E47=1,2^-(I47-J47),"")</f>
        <v/>
      </c>
      <c r="L47" s="8">
        <f>IF(E47=1,K47*K47,0)</f>
        <v/>
      </c>
    </row>
    <row r="48">
      <c r="A48" s="4" t="inlineStr">
        <is>
          <t>E8</t>
        </is>
      </c>
      <c r="B48" s="4" t="inlineStr">
        <is>
          <t>KerCT 7 días MD2 2</t>
        </is>
      </c>
      <c r="C48" s="4" t="inlineStr">
        <is>
          <t>KRT2</t>
        </is>
      </c>
      <c r="D48" s="5" t="n">
        <v>29.91803359985352</v>
      </c>
      <c r="E48" s="6" t="n">
        <v>1</v>
      </c>
      <c r="F48" s="4" t="n"/>
      <c r="G48" s="4">
        <f>INDEX(Controles!$B$5:$B$9,MATCH(B48,Controles!$A$5:$A$9,0))</f>
        <v/>
      </c>
      <c r="H48" s="5">
        <f>AVERAGEIFS($D$5:$D$94,$B$5:$B$94,B48,$C$5:$C$94,"YWHAZ",$E$5:$E$94,1)</f>
        <v/>
      </c>
      <c r="I48" s="5">
        <f>D48-H48</f>
        <v/>
      </c>
      <c r="J48" s="5">
        <f>AVERAGEIFS($I$5:$I$94,$B$5:$B$94,G48,$C$5:$C$94,C48,$E$5:$E$94,1)</f>
        <v/>
      </c>
      <c r="K48" s="7">
        <f>IF(E48=1,2^-(I48-J48),"")</f>
        <v/>
      </c>
      <c r="L48" s="8">
        <f>IF(E48=1,K48*K48,0)</f>
        <v/>
      </c>
    </row>
    <row r="49">
      <c r="A49" s="4" t="inlineStr">
        <is>
          <t>E9</t>
        </is>
      </c>
      <c r="B49" s="4" t="inlineStr">
        <is>
          <t>KerCT 7 días MD2 2</t>
        </is>
      </c>
      <c r="C49" s="4" t="inlineStr">
        <is>
          <t>KRT2</t>
        </is>
      </c>
      <c r="D49" s="5" t="n">
        <v>29.78486442565918</v>
      </c>
      <c r="E49" s="6" t="n">
        <v>1</v>
      </c>
      <c r="F49" s="4" t="n"/>
      <c r="G49" s="4">
        <f>INDEX(Controles!$B$5:$B$9,MATCH(B49,Controles!$A$5:$A$9,0))</f>
        <v/>
      </c>
      <c r="H49" s="5">
        <f>AVERAGEIFS($D$5:$D$94,$B$5:$B$94,B49,$C$5:$C$94,"YWHAZ",$E$5:$E$94,1)</f>
        <v/>
      </c>
      <c r="I49" s="5">
        <f>D49-H49</f>
        <v/>
      </c>
      <c r="J49" s="5">
        <f>AVERAGEIFS($I$5:$I$94,$B$5:$B$94,G49,$C$5:$C$94,C49,$E$5:$E$94,1)</f>
        <v/>
      </c>
      <c r="K49" s="7">
        <f>IF(E49=1,2^-(I49-J49),"")</f>
        <v/>
      </c>
      <c r="L49" s="8">
        <f>IF(E49=1,K49*K49,0)</f>
        <v/>
      </c>
    </row>
    <row r="50">
      <c r="A50" s="4" t="inlineStr">
        <is>
          <t>E4</t>
        </is>
      </c>
      <c r="B50" s="4" t="inlineStr">
        <is>
          <t>KerCT 7 días MD2 2</t>
        </is>
      </c>
      <c r="C50" s="4" t="inlineStr">
        <is>
          <t>KRT10</t>
        </is>
      </c>
      <c r="D50" s="5" t="n">
        <v>15.62834167480469</v>
      </c>
      <c r="E50" s="6" t="n">
        <v>1</v>
      </c>
      <c r="F50" s="4" t="n"/>
      <c r="G50" s="4">
        <f>INDEX(Controles!$B$5:$B$9,MATCH(B50,Controles!$A$5:$A$9,0))</f>
        <v/>
      </c>
      <c r="H50" s="5">
        <f>AVERAGEIFS($D$5:$D$94,$B$5:$B$94,B50,$C$5:$C$94,"YWHAZ",$E$5:$E$94,1)</f>
        <v/>
      </c>
      <c r="I50" s="5">
        <f>D50-H50</f>
        <v/>
      </c>
      <c r="J50" s="5">
        <f>AVERAGEIFS($I$5:$I$94,$B$5:$B$94,G50,$C$5:$C$94,C50,$E$5:$E$94,1)</f>
        <v/>
      </c>
      <c r="K50" s="7">
        <f>IF(E50=1,2^-(I50-J50),"")</f>
        <v/>
      </c>
      <c r="L50" s="8">
        <f>IF(E50=1,K50*K50,0)</f>
        <v/>
      </c>
    </row>
    <row r="51">
      <c r="A51" s="4" t="inlineStr">
        <is>
          <t>E5</t>
        </is>
      </c>
      <c r="B51" s="4" t="inlineStr">
        <is>
          <t>KerCT 7 días MD2 2</t>
        </is>
      </c>
      <c r="C51" s="4" t="inlineStr">
        <is>
          <t>KRT10</t>
        </is>
      </c>
      <c r="D51" s="5" t="n">
        <v>15.54131031036377</v>
      </c>
      <c r="E51" s="6" t="n">
        <v>1</v>
      </c>
      <c r="F51" s="4" t="n"/>
      <c r="G51" s="4">
        <f>INDEX(Controles!$B$5:$B$9,MATCH(B51,Controles!$A$5:$A$9,0))</f>
        <v/>
      </c>
      <c r="H51" s="5">
        <f>AVERAGEIFS($D$5:$D$94,$B$5:$B$94,B51,$C$5:$C$94,"YWHAZ",$E$5:$E$94,1)</f>
        <v/>
      </c>
      <c r="I51" s="5">
        <f>D51-H51</f>
        <v/>
      </c>
      <c r="J51" s="5">
        <f>AVERAGEIFS($I$5:$I$94,$B$5:$B$94,G51,$C$5:$C$94,C51,$E$5:$E$94,1)</f>
        <v/>
      </c>
      <c r="K51" s="7">
        <f>IF(E51=1,2^-(I51-J51),"")</f>
        <v/>
      </c>
      <c r="L51" s="8">
        <f>IF(E51=1,K51*K51,0)</f>
        <v/>
      </c>
    </row>
    <row r="52">
      <c r="A52" s="4" t="inlineStr">
        <is>
          <t>E6</t>
        </is>
      </c>
      <c r="B52" s="4" t="inlineStr">
        <is>
          <t>KerCT 7 días MD2 2</t>
        </is>
      </c>
      <c r="C52" s="4" t="inlineStr">
        <is>
          <t>KRT10</t>
        </is>
      </c>
      <c r="D52" s="5" t="n">
        <v>15.7343225479126</v>
      </c>
      <c r="E52" s="6" t="n">
        <v>1</v>
      </c>
      <c r="F52" s="4" t="n"/>
      <c r="G52" s="4">
        <f>INDEX(Controles!$B$5:$B$9,MATCH(B52,Controles!$A$5:$A$9,0))</f>
        <v/>
      </c>
      <c r="H52" s="5">
        <f>AVERAGEIFS($D$5:$D$94,$B$5:$B$94,B52,$C$5:$C$94,"YWHAZ",$E$5:$E$94,1)</f>
        <v/>
      </c>
      <c r="I52" s="5">
        <f>D52-H52</f>
        <v/>
      </c>
      <c r="J52" s="5">
        <f>AVERAGEIFS($I$5:$I$94,$B$5:$B$94,G52,$C$5:$C$94,C52,$E$5:$E$94,1)</f>
        <v/>
      </c>
      <c r="K52" s="7">
        <f>IF(E52=1,2^-(I52-J52),"")</f>
        <v/>
      </c>
      <c r="L52" s="8">
        <f>IF(E52=1,K52*K52,0)</f>
        <v/>
      </c>
    </row>
    <row r="53">
      <c r="A53" s="4" t="inlineStr">
        <is>
          <t>G11</t>
        </is>
      </c>
      <c r="B53" s="4" t="inlineStr">
        <is>
          <t>KerCT 7 días MD2 2</t>
        </is>
      </c>
      <c r="C53" s="4" t="inlineStr">
        <is>
          <t>KRT14</t>
        </is>
      </c>
      <c r="D53" s="5" t="n">
        <v>20.59830474853516</v>
      </c>
      <c r="E53" s="6" t="n">
        <v>1</v>
      </c>
      <c r="F53" s="4" t="n"/>
      <c r="G53" s="4">
        <f>INDEX(Controles!$B$5:$B$9,MATCH(B53,Controles!$A$5:$A$9,0))</f>
        <v/>
      </c>
      <c r="H53" s="5">
        <f>AVERAGEIFS($D$5:$D$94,$B$5:$B$94,B53,$C$5:$C$94,"YWHAZ",$E$5:$E$94,1)</f>
        <v/>
      </c>
      <c r="I53" s="5">
        <f>D53-H53</f>
        <v/>
      </c>
      <c r="J53" s="5">
        <f>AVERAGEIFS($I$5:$I$94,$B$5:$B$94,G53,$C$5:$C$94,C53,$E$5:$E$94,1)</f>
        <v/>
      </c>
      <c r="K53" s="7">
        <f>IF(E53=1,2^-(I53-J53),"")</f>
        <v/>
      </c>
      <c r="L53" s="8">
        <f>IF(E53=1,K53*K53,0)</f>
        <v/>
      </c>
    </row>
    <row r="54">
      <c r="A54" s="4" t="inlineStr">
        <is>
          <t>G12</t>
        </is>
      </c>
      <c r="B54" s="4" t="inlineStr">
        <is>
          <t>KerCT 7 días MD2 2</t>
        </is>
      </c>
      <c r="C54" s="4" t="inlineStr">
        <is>
          <t>KRT14</t>
        </is>
      </c>
      <c r="D54" s="5" t="n">
        <v>20.47075462341309</v>
      </c>
      <c r="E54" s="6" t="n">
        <v>1</v>
      </c>
      <c r="F54" s="4" t="n"/>
      <c r="G54" s="4">
        <f>INDEX(Controles!$B$5:$B$9,MATCH(B54,Controles!$A$5:$A$9,0))</f>
        <v/>
      </c>
      <c r="H54" s="5">
        <f>AVERAGEIFS($D$5:$D$94,$B$5:$B$94,B54,$C$5:$C$94,"YWHAZ",$E$5:$E$94,1)</f>
        <v/>
      </c>
      <c r="I54" s="5">
        <f>D54-H54</f>
        <v/>
      </c>
      <c r="J54" s="5">
        <f>AVERAGEIFS($I$5:$I$94,$B$5:$B$94,G54,$C$5:$C$94,C54,$E$5:$E$94,1)</f>
        <v/>
      </c>
      <c r="K54" s="7">
        <f>IF(E54=1,2^-(I54-J54),"")</f>
        <v/>
      </c>
      <c r="L54" s="8">
        <f>IF(E54=1,K54*K54,0)</f>
        <v/>
      </c>
    </row>
    <row r="55">
      <c r="A55" s="4" t="inlineStr">
        <is>
          <t>H12</t>
        </is>
      </c>
      <c r="B55" s="4" t="inlineStr">
        <is>
          <t>KerCT 7 días MD2 2</t>
        </is>
      </c>
      <c r="C55" s="4" t="inlineStr">
        <is>
          <t>KRT14</t>
        </is>
      </c>
      <c r="D55" s="5" t="n">
        <v>20.49996376037598</v>
      </c>
      <c r="E55" s="6" t="n">
        <v>1</v>
      </c>
      <c r="F55" s="4" t="n"/>
      <c r="G55" s="4">
        <f>INDEX(Controles!$B$5:$B$9,MATCH(B55,Controles!$A$5:$A$9,0))</f>
        <v/>
      </c>
      <c r="H55" s="5">
        <f>AVERAGEIFS($D$5:$D$94,$B$5:$B$94,B55,$C$5:$C$94,"YWHAZ",$E$5:$E$94,1)</f>
        <v/>
      </c>
      <c r="I55" s="5">
        <f>D55-H55</f>
        <v/>
      </c>
      <c r="J55" s="5">
        <f>AVERAGEIFS($I$5:$I$94,$B$5:$B$94,G55,$C$5:$C$94,C55,$E$5:$E$94,1)</f>
        <v/>
      </c>
      <c r="K55" s="7">
        <f>IF(E55=1,2^-(I55-J55),"")</f>
        <v/>
      </c>
      <c r="L55" s="8">
        <f>IF(E55=1,K55*K55,0)</f>
        <v/>
      </c>
    </row>
    <row r="56">
      <c r="A56" s="4" t="inlineStr">
        <is>
          <t>F1</t>
        </is>
      </c>
      <c r="B56" s="4" t="inlineStr">
        <is>
          <t>KerCT 7 días MD2 2</t>
        </is>
      </c>
      <c r="C56" s="4" t="inlineStr">
        <is>
          <t>IVL</t>
        </is>
      </c>
      <c r="D56" s="5" t="n">
        <v>18.51498794555664</v>
      </c>
      <c r="E56" s="6" t="n">
        <v>1</v>
      </c>
      <c r="F56" s="4" t="n"/>
      <c r="G56" s="4">
        <f>INDEX(Controles!$B$5:$B$9,MATCH(B56,Controles!$A$5:$A$9,0))</f>
        <v/>
      </c>
      <c r="H56" s="5">
        <f>AVERAGEIFS($D$5:$D$94,$B$5:$B$94,B56,$C$5:$C$94,"YWHAZ",$E$5:$E$94,1)</f>
        <v/>
      </c>
      <c r="I56" s="5">
        <f>D56-H56</f>
        <v/>
      </c>
      <c r="J56" s="5">
        <f>AVERAGEIFS($I$5:$I$94,$B$5:$B$94,G56,$C$5:$C$94,C56,$E$5:$E$94,1)</f>
        <v/>
      </c>
      <c r="K56" s="7">
        <f>IF(E56=1,2^-(I56-J56),"")</f>
        <v/>
      </c>
      <c r="L56" s="8">
        <f>IF(E56=1,K56*K56,0)</f>
        <v/>
      </c>
    </row>
    <row r="57">
      <c r="A57" s="4" t="inlineStr">
        <is>
          <t>F2</t>
        </is>
      </c>
      <c r="B57" s="4" t="inlineStr">
        <is>
          <t>KerCT 7 días MD2 2</t>
        </is>
      </c>
      <c r="C57" s="4" t="inlineStr">
        <is>
          <t>IVL</t>
        </is>
      </c>
      <c r="D57" s="5" t="n">
        <v>18.32280921936035</v>
      </c>
      <c r="E57" s="6" t="n">
        <v>1</v>
      </c>
      <c r="F57" s="4" t="n"/>
      <c r="G57" s="4">
        <f>INDEX(Controles!$B$5:$B$9,MATCH(B57,Controles!$A$5:$A$9,0))</f>
        <v/>
      </c>
      <c r="H57" s="5">
        <f>AVERAGEIFS($D$5:$D$94,$B$5:$B$94,B57,$C$5:$C$94,"YWHAZ",$E$5:$E$94,1)</f>
        <v/>
      </c>
      <c r="I57" s="5">
        <f>D57-H57</f>
        <v/>
      </c>
      <c r="J57" s="5">
        <f>AVERAGEIFS($I$5:$I$94,$B$5:$B$94,G57,$C$5:$C$94,C57,$E$5:$E$94,1)</f>
        <v/>
      </c>
      <c r="K57" s="7">
        <f>IF(E57=1,2^-(I57-J57),"")</f>
        <v/>
      </c>
      <c r="L57" s="8">
        <f>IF(E57=1,K57*K57,0)</f>
        <v/>
      </c>
    </row>
    <row r="58">
      <c r="A58" s="4" t="inlineStr">
        <is>
          <t>F3</t>
        </is>
      </c>
      <c r="B58" s="4" t="inlineStr">
        <is>
          <t>KerCT 7 días MD2 2</t>
        </is>
      </c>
      <c r="C58" s="4" t="inlineStr">
        <is>
          <t>IVL</t>
        </is>
      </c>
      <c r="D58" s="5" t="n">
        <v>18.32823753356934</v>
      </c>
      <c r="E58" s="6" t="n">
        <v>1</v>
      </c>
      <c r="F58" s="4" t="n"/>
      <c r="G58" s="4">
        <f>INDEX(Controles!$B$5:$B$9,MATCH(B58,Controles!$A$5:$A$9,0))</f>
        <v/>
      </c>
      <c r="H58" s="5">
        <f>AVERAGEIFS($D$5:$D$94,$B$5:$B$94,B58,$C$5:$C$94,"YWHAZ",$E$5:$E$94,1)</f>
        <v/>
      </c>
      <c r="I58" s="5">
        <f>D58-H58</f>
        <v/>
      </c>
      <c r="J58" s="5">
        <f>AVERAGEIFS($I$5:$I$94,$B$5:$B$94,G58,$C$5:$C$94,C58,$E$5:$E$94,1)</f>
        <v/>
      </c>
      <c r="K58" s="7">
        <f>IF(E58=1,2^-(I58-J58),"")</f>
        <v/>
      </c>
      <c r="L58" s="8">
        <f>IF(E58=1,K58*K58,0)</f>
        <v/>
      </c>
    </row>
    <row r="59">
      <c r="A59" s="4" t="inlineStr">
        <is>
          <t>H4</t>
        </is>
      </c>
      <c r="B59" s="4" t="inlineStr">
        <is>
          <t>KerCT 0 días MD3</t>
        </is>
      </c>
      <c r="C59" s="4" t="inlineStr">
        <is>
          <t>YWHAZ</t>
        </is>
      </c>
      <c r="D59" s="5" t="n">
        <v>16.74108123779297</v>
      </c>
      <c r="E59" s="6" t="n">
        <v>1</v>
      </c>
      <c r="F59" s="4" t="n"/>
      <c r="G59" s="4">
        <f>INDEX(Controles!$B$5:$B$9,MATCH(B59,Controles!$A$5:$A$9,0))</f>
        <v/>
      </c>
      <c r="H59" s="5">
        <f>AVERAGEIFS($D$5:$D$94,$B$5:$B$94,B59,$C$5:$C$94,"YWHAZ",$E$5:$E$94,1)</f>
        <v/>
      </c>
      <c r="I59" s="4" t="n"/>
      <c r="J59" s="4" t="n"/>
      <c r="K59" s="4" t="n"/>
      <c r="L59" s="4" t="n"/>
    </row>
    <row r="60">
      <c r="A60" s="4" t="inlineStr">
        <is>
          <t>H5</t>
        </is>
      </c>
      <c r="B60" s="4" t="inlineStr">
        <is>
          <t>KerCT 0 días MD3</t>
        </is>
      </c>
      <c r="C60" s="4" t="inlineStr">
        <is>
          <t>YWHAZ</t>
        </is>
      </c>
      <c r="D60" s="5" t="n">
        <v>16.73532867431641</v>
      </c>
      <c r="E60" s="6" t="n">
        <v>1</v>
      </c>
      <c r="F60" s="4" t="n"/>
      <c r="G60" s="4">
        <f>INDEX(Controles!$B$5:$B$9,MATCH(B60,Controles!$A$5:$A$9,0))</f>
        <v/>
      </c>
      <c r="H60" s="5">
        <f>AVERAGEIFS($D$5:$D$94,$B$5:$B$94,B60,$C$5:$C$94,"YWHAZ",$E$5:$E$94,1)</f>
        <v/>
      </c>
      <c r="I60" s="4" t="n"/>
      <c r="J60" s="4" t="n"/>
      <c r="K60" s="4" t="n"/>
      <c r="L60" s="4" t="n"/>
    </row>
    <row r="61">
      <c r="A61" s="4" t="inlineStr">
        <is>
          <t>H6</t>
        </is>
      </c>
      <c r="B61" s="4" t="inlineStr">
        <is>
          <t>KerCT 0 días MD3</t>
        </is>
      </c>
      <c r="C61" s="4" t="inlineStr">
        <is>
          <t>YWHAZ</t>
        </is>
      </c>
      <c r="D61" s="5" t="n">
        <v>16.56166076660156</v>
      </c>
      <c r="E61" s="6" t="n">
        <v>1</v>
      </c>
      <c r="F61" s="4" t="n"/>
      <c r="G61" s="4">
        <f>INDEX(Controles!$B$5:$B$9,MATCH(B61,Controles!$A$5:$A$9,0))</f>
        <v/>
      </c>
      <c r="H61" s="5">
        <f>AVERAGEIFS($D$5:$D$94,$B$5:$B$94,B61,$C$5:$C$94,"YWHAZ",$E$5:$E$94,1)</f>
        <v/>
      </c>
      <c r="I61" s="4" t="n"/>
      <c r="J61" s="4" t="n"/>
      <c r="K61" s="4" t="n"/>
      <c r="L61" s="4" t="n"/>
    </row>
    <row r="62">
      <c r="A62" s="9" t="inlineStr">
        <is>
          <t>G1</t>
        </is>
      </c>
      <c r="B62" s="9" t="inlineStr">
        <is>
          <t>KerCT 0 días MD3</t>
        </is>
      </c>
      <c r="C62" s="9" t="inlineStr">
        <is>
          <t>KRT1</t>
        </is>
      </c>
      <c r="D62" s="10" t="n">
        <v>30.92856025695801</v>
      </c>
      <c r="E62" s="11" t="n">
        <v>0</v>
      </c>
      <c r="F62" s="9" t="inlineStr">
        <is>
          <t>Fuera de la media: SD triplicado 0.36 → 0.10 Ct al quitarlo</t>
        </is>
      </c>
      <c r="G62" s="9">
        <f>INDEX(Controles!$B$5:$B$9,MATCH(B62,Controles!$A$5:$A$9,0))</f>
        <v/>
      </c>
      <c r="H62" s="10">
        <f>AVERAGEIFS($D$5:$D$94,$B$5:$B$94,B62,$C$5:$C$94,"YWHAZ",$E$5:$E$94,1)</f>
        <v/>
      </c>
      <c r="I62" s="10">
        <f>D62-H62</f>
        <v/>
      </c>
      <c r="J62" s="10">
        <f>AVERAGEIFS($I$5:$I$94,$B$5:$B$94,G62,$C$5:$C$94,C62,$E$5:$E$94,1)</f>
        <v/>
      </c>
      <c r="K62" s="12">
        <f>IF(E62=1,2^-(I62-J62),"")</f>
        <v/>
      </c>
      <c r="L62" s="13">
        <f>IF(E62=1,K62*K62,0)</f>
        <v/>
      </c>
    </row>
    <row r="63">
      <c r="A63" s="4" t="inlineStr">
        <is>
          <t>G2</t>
        </is>
      </c>
      <c r="B63" s="4" t="inlineStr">
        <is>
          <t>KerCT 0 días MD3</t>
        </is>
      </c>
      <c r="C63" s="4" t="inlineStr">
        <is>
          <t>KRT1</t>
        </is>
      </c>
      <c r="D63" s="5" t="n">
        <v>30.24511528015137</v>
      </c>
      <c r="E63" s="6" t="n">
        <v>1</v>
      </c>
      <c r="F63" s="4" t="n"/>
      <c r="G63" s="4">
        <f>INDEX(Controles!$B$5:$B$9,MATCH(B63,Controles!$A$5:$A$9,0))</f>
        <v/>
      </c>
      <c r="H63" s="5">
        <f>AVERAGEIFS($D$5:$D$94,$B$5:$B$94,B63,$C$5:$C$94,"YWHAZ",$E$5:$E$94,1)</f>
        <v/>
      </c>
      <c r="I63" s="5">
        <f>D63-H63</f>
        <v/>
      </c>
      <c r="J63" s="5">
        <f>AVERAGEIFS($I$5:$I$94,$B$5:$B$94,G63,$C$5:$C$94,C63,$E$5:$E$94,1)</f>
        <v/>
      </c>
      <c r="K63" s="7">
        <f>IF(E63=1,2^-(I63-J63),"")</f>
        <v/>
      </c>
      <c r="L63" s="8">
        <f>IF(E63=1,K63*K63,0)</f>
        <v/>
      </c>
    </row>
    <row r="64">
      <c r="A64" s="4" t="inlineStr">
        <is>
          <t>G3</t>
        </is>
      </c>
      <c r="B64" s="4" t="inlineStr">
        <is>
          <t>KerCT 0 días MD3</t>
        </is>
      </c>
      <c r="C64" s="4" t="inlineStr">
        <is>
          <t>KRT1</t>
        </is>
      </c>
      <c r="D64" s="5" t="n">
        <v>30.39195823669434</v>
      </c>
      <c r="E64" s="6" t="n">
        <v>1</v>
      </c>
      <c r="F64" s="4" t="n"/>
      <c r="G64" s="4">
        <f>INDEX(Controles!$B$5:$B$9,MATCH(B64,Controles!$A$5:$A$9,0))</f>
        <v/>
      </c>
      <c r="H64" s="5">
        <f>AVERAGEIFS($D$5:$D$94,$B$5:$B$94,B64,$C$5:$C$94,"YWHAZ",$E$5:$E$94,1)</f>
        <v/>
      </c>
      <c r="I64" s="5">
        <f>D64-H64</f>
        <v/>
      </c>
      <c r="J64" s="5">
        <f>AVERAGEIFS($I$5:$I$94,$B$5:$B$94,G64,$C$5:$C$94,C64,$E$5:$E$94,1)</f>
        <v/>
      </c>
      <c r="K64" s="7">
        <f>IF(E64=1,2^-(I64-J64),"")</f>
        <v/>
      </c>
      <c r="L64" s="8">
        <f>IF(E64=1,K64*K64,0)</f>
        <v/>
      </c>
    </row>
    <row r="65">
      <c r="A65" s="4" t="inlineStr">
        <is>
          <t>G7</t>
        </is>
      </c>
      <c r="B65" s="4" t="inlineStr">
        <is>
          <t>KerCT 0 días MD3</t>
        </is>
      </c>
      <c r="C65" s="4" t="inlineStr">
        <is>
          <t>KRT2</t>
        </is>
      </c>
      <c r="D65" s="5" t="n">
        <v>29.92320823669434</v>
      </c>
      <c r="E65" s="6" t="n">
        <v>1</v>
      </c>
      <c r="F65" s="4" t="n"/>
      <c r="G65" s="4">
        <f>INDEX(Controles!$B$5:$B$9,MATCH(B65,Controles!$A$5:$A$9,0))</f>
        <v/>
      </c>
      <c r="H65" s="5">
        <f>AVERAGEIFS($D$5:$D$94,$B$5:$B$94,B65,$C$5:$C$94,"YWHAZ",$E$5:$E$94,1)</f>
        <v/>
      </c>
      <c r="I65" s="5">
        <f>D65-H65</f>
        <v/>
      </c>
      <c r="J65" s="5">
        <f>AVERAGEIFS($I$5:$I$94,$B$5:$B$94,G65,$C$5:$C$94,C65,$E$5:$E$94,1)</f>
        <v/>
      </c>
      <c r="K65" s="7">
        <f>IF(E65=1,2^-(I65-J65),"")</f>
        <v/>
      </c>
      <c r="L65" s="8">
        <f>IF(E65=1,K65*K65,0)</f>
        <v/>
      </c>
    </row>
    <row r="66">
      <c r="A66" s="9" t="inlineStr">
        <is>
          <t>G8</t>
        </is>
      </c>
      <c r="B66" s="9" t="inlineStr">
        <is>
          <t>KerCT 0 días MD3</t>
        </is>
      </c>
      <c r="C66" s="9" t="inlineStr">
        <is>
          <t>KRT2</t>
        </is>
      </c>
      <c r="D66" s="10" t="n">
        <v>30.67306327819824</v>
      </c>
      <c r="E66" s="11" t="n">
        <v>0</v>
      </c>
      <c r="F66" s="9" t="inlineStr">
        <is>
          <t>Fuera de la media: SD triplicado 0.39 → 0.13 Ct al quitarlo</t>
        </is>
      </c>
      <c r="G66" s="9">
        <f>INDEX(Controles!$B$5:$B$9,MATCH(B66,Controles!$A$5:$A$9,0))</f>
        <v/>
      </c>
      <c r="H66" s="10">
        <f>AVERAGEIFS($D$5:$D$94,$B$5:$B$94,B66,$C$5:$C$94,"YWHAZ",$E$5:$E$94,1)</f>
        <v/>
      </c>
      <c r="I66" s="10">
        <f>D66-H66</f>
        <v/>
      </c>
      <c r="J66" s="10">
        <f>AVERAGEIFS($I$5:$I$94,$B$5:$B$94,G66,$C$5:$C$94,C66,$E$5:$E$94,1)</f>
        <v/>
      </c>
      <c r="K66" s="12">
        <f>IF(E66=1,2^-(I66-J66),"")</f>
        <v/>
      </c>
      <c r="L66" s="13">
        <f>IF(E66=1,K66*K66,0)</f>
        <v/>
      </c>
    </row>
    <row r="67">
      <c r="A67" s="4" t="inlineStr">
        <is>
          <t>G9</t>
        </is>
      </c>
      <c r="B67" s="4" t="inlineStr">
        <is>
          <t>KerCT 0 días MD3</t>
        </is>
      </c>
      <c r="C67" s="4" t="inlineStr">
        <is>
          <t>KRT2</t>
        </is>
      </c>
      <c r="D67" s="5" t="n">
        <v>30.10231590270996</v>
      </c>
      <c r="E67" s="6" t="n">
        <v>1</v>
      </c>
      <c r="F67" s="4" t="n"/>
      <c r="G67" s="4">
        <f>INDEX(Controles!$B$5:$B$9,MATCH(B67,Controles!$A$5:$A$9,0))</f>
        <v/>
      </c>
      <c r="H67" s="5">
        <f>AVERAGEIFS($D$5:$D$94,$B$5:$B$94,B67,$C$5:$C$94,"YWHAZ",$E$5:$E$94,1)</f>
        <v/>
      </c>
      <c r="I67" s="5">
        <f>D67-H67</f>
        <v/>
      </c>
      <c r="J67" s="5">
        <f>AVERAGEIFS($I$5:$I$94,$B$5:$B$94,G67,$C$5:$C$94,C67,$E$5:$E$94,1)</f>
        <v/>
      </c>
      <c r="K67" s="7">
        <f>IF(E67=1,2^-(I67-J67),"")</f>
        <v/>
      </c>
      <c r="L67" s="8">
        <f>IF(E67=1,K67*K67,0)</f>
        <v/>
      </c>
    </row>
    <row r="68">
      <c r="A68" s="9" t="inlineStr">
        <is>
          <t>G4</t>
        </is>
      </c>
      <c r="B68" s="9" t="inlineStr">
        <is>
          <t>KerCT 0 días MD3</t>
        </is>
      </c>
      <c r="C68" s="9" t="inlineStr">
        <is>
          <t>KRT10</t>
        </is>
      </c>
      <c r="D68" s="10" t="n">
        <v>21.16443634033203</v>
      </c>
      <c r="E68" s="11" t="n">
        <v>0</v>
      </c>
      <c r="F68" s="9" t="inlineStr">
        <is>
          <t>Fuera de la media: SD triplicado 0.32 → 0.03 Ct al quitarlo</t>
        </is>
      </c>
      <c r="G68" s="9">
        <f>INDEX(Controles!$B$5:$B$9,MATCH(B68,Controles!$A$5:$A$9,0))</f>
        <v/>
      </c>
      <c r="H68" s="10">
        <f>AVERAGEIFS($D$5:$D$94,$B$5:$B$94,B68,$C$5:$C$94,"YWHAZ",$E$5:$E$94,1)</f>
        <v/>
      </c>
      <c r="I68" s="10">
        <f>D68-H68</f>
        <v/>
      </c>
      <c r="J68" s="10">
        <f>AVERAGEIFS($I$5:$I$94,$B$5:$B$94,G68,$C$5:$C$94,C68,$E$5:$E$94,1)</f>
        <v/>
      </c>
      <c r="K68" s="12">
        <f>IF(E68=1,2^-(I68-J68),"")</f>
        <v/>
      </c>
      <c r="L68" s="13">
        <f>IF(E68=1,K68*K68,0)</f>
        <v/>
      </c>
    </row>
    <row r="69">
      <c r="A69" s="4" t="inlineStr">
        <is>
          <t>G5</t>
        </is>
      </c>
      <c r="B69" s="4" t="inlineStr">
        <is>
          <t>KerCT 0 días MD3</t>
        </is>
      </c>
      <c r="C69" s="4" t="inlineStr">
        <is>
          <t>KRT10</t>
        </is>
      </c>
      <c r="D69" s="5" t="n">
        <v>20.58762550354004</v>
      </c>
      <c r="E69" s="6" t="n">
        <v>1</v>
      </c>
      <c r="F69" s="4" t="n"/>
      <c r="G69" s="4">
        <f>INDEX(Controles!$B$5:$B$9,MATCH(B69,Controles!$A$5:$A$9,0))</f>
        <v/>
      </c>
      <c r="H69" s="5">
        <f>AVERAGEIFS($D$5:$D$94,$B$5:$B$94,B69,$C$5:$C$94,"YWHAZ",$E$5:$E$94,1)</f>
        <v/>
      </c>
      <c r="I69" s="5">
        <f>D69-H69</f>
        <v/>
      </c>
      <c r="J69" s="5">
        <f>AVERAGEIFS($I$5:$I$94,$B$5:$B$94,G69,$C$5:$C$94,C69,$E$5:$E$94,1)</f>
        <v/>
      </c>
      <c r="K69" s="7">
        <f>IF(E69=1,2^-(I69-J69),"")</f>
        <v/>
      </c>
      <c r="L69" s="8">
        <f>IF(E69=1,K69*K69,0)</f>
        <v/>
      </c>
    </row>
    <row r="70">
      <c r="A70" s="4" t="inlineStr">
        <is>
          <t>G6</t>
        </is>
      </c>
      <c r="B70" s="4" t="inlineStr">
        <is>
          <t>KerCT 0 días MD3</t>
        </is>
      </c>
      <c r="C70" s="4" t="inlineStr">
        <is>
          <t>KRT10</t>
        </is>
      </c>
      <c r="D70" s="5" t="n">
        <v>20.63297653198242</v>
      </c>
      <c r="E70" s="6" t="n">
        <v>1</v>
      </c>
      <c r="F70" s="4" t="n"/>
      <c r="G70" s="4">
        <f>INDEX(Controles!$B$5:$B$9,MATCH(B70,Controles!$A$5:$A$9,0))</f>
        <v/>
      </c>
      <c r="H70" s="5">
        <f>AVERAGEIFS($D$5:$D$94,$B$5:$B$94,B70,$C$5:$C$94,"YWHAZ",$E$5:$E$94,1)</f>
        <v/>
      </c>
      <c r="I70" s="5">
        <f>D70-H70</f>
        <v/>
      </c>
      <c r="J70" s="5">
        <f>AVERAGEIFS($I$5:$I$94,$B$5:$B$94,G70,$C$5:$C$94,C70,$E$5:$E$94,1)</f>
        <v/>
      </c>
      <c r="K70" s="7">
        <f>IF(E70=1,2^-(I70-J70),"")</f>
        <v/>
      </c>
      <c r="L70" s="8">
        <f>IF(E70=1,K70*K70,0)</f>
        <v/>
      </c>
    </row>
    <row r="71">
      <c r="A71" s="4" t="inlineStr">
        <is>
          <t>A11</t>
        </is>
      </c>
      <c r="B71" s="4" t="inlineStr">
        <is>
          <t>KerCT 0 días MD3</t>
        </is>
      </c>
      <c r="C71" s="4" t="inlineStr">
        <is>
          <t>KRT14</t>
        </is>
      </c>
      <c r="D71" s="5" t="n">
        <v>21.94941139221191</v>
      </c>
      <c r="E71" s="6" t="n">
        <v>1</v>
      </c>
      <c r="F71" s="4" t="n"/>
      <c r="G71" s="4">
        <f>INDEX(Controles!$B$5:$B$9,MATCH(B71,Controles!$A$5:$A$9,0))</f>
        <v/>
      </c>
      <c r="H71" s="5">
        <f>AVERAGEIFS($D$5:$D$94,$B$5:$B$94,B71,$C$5:$C$94,"YWHAZ",$E$5:$E$94,1)</f>
        <v/>
      </c>
      <c r="I71" s="5">
        <f>D71-H71</f>
        <v/>
      </c>
      <c r="J71" s="5">
        <f>AVERAGEIFS($I$5:$I$94,$B$5:$B$94,G71,$C$5:$C$94,C71,$E$5:$E$94,1)</f>
        <v/>
      </c>
      <c r="K71" s="7">
        <f>IF(E71=1,2^-(I71-J71),"")</f>
        <v/>
      </c>
      <c r="L71" s="8">
        <f>IF(E71=1,K71*K71,0)</f>
        <v/>
      </c>
    </row>
    <row r="72">
      <c r="A72" s="4" t="inlineStr">
        <is>
          <t>B11</t>
        </is>
      </c>
      <c r="B72" s="4" t="inlineStr">
        <is>
          <t>KerCT 0 días MD3</t>
        </is>
      </c>
      <c r="C72" s="4" t="inlineStr">
        <is>
          <t>KRT14</t>
        </is>
      </c>
      <c r="D72" s="5" t="n">
        <v>21.45512199401855</v>
      </c>
      <c r="E72" s="6" t="n">
        <v>1</v>
      </c>
      <c r="F72" s="4" t="n"/>
      <c r="G72" s="4">
        <f>INDEX(Controles!$B$5:$B$9,MATCH(B72,Controles!$A$5:$A$9,0))</f>
        <v/>
      </c>
      <c r="H72" s="5">
        <f>AVERAGEIFS($D$5:$D$94,$B$5:$B$94,B72,$C$5:$C$94,"YWHAZ",$E$5:$E$94,1)</f>
        <v/>
      </c>
      <c r="I72" s="5">
        <f>D72-H72</f>
        <v/>
      </c>
      <c r="J72" s="5">
        <f>AVERAGEIFS($I$5:$I$94,$B$5:$B$94,G72,$C$5:$C$94,C72,$E$5:$E$94,1)</f>
        <v/>
      </c>
      <c r="K72" s="7">
        <f>IF(E72=1,2^-(I72-J72),"")</f>
        <v/>
      </c>
      <c r="L72" s="8">
        <f>IF(E72=1,K72*K72,0)</f>
        <v/>
      </c>
    </row>
    <row r="73">
      <c r="A73" s="4" t="inlineStr">
        <is>
          <t>C11</t>
        </is>
      </c>
      <c r="B73" s="4" t="inlineStr">
        <is>
          <t>KerCT 0 días MD3</t>
        </is>
      </c>
      <c r="C73" s="4" t="inlineStr">
        <is>
          <t>KRT14</t>
        </is>
      </c>
      <c r="D73" s="5" t="n">
        <v>21.53439140319824</v>
      </c>
      <c r="E73" s="6" t="n">
        <v>1</v>
      </c>
      <c r="F73" s="4" t="n"/>
      <c r="G73" s="4">
        <f>INDEX(Controles!$B$5:$B$9,MATCH(B73,Controles!$A$5:$A$9,0))</f>
        <v/>
      </c>
      <c r="H73" s="5">
        <f>AVERAGEIFS($D$5:$D$94,$B$5:$B$94,B73,$C$5:$C$94,"YWHAZ",$E$5:$E$94,1)</f>
        <v/>
      </c>
      <c r="I73" s="5">
        <f>D73-H73</f>
        <v/>
      </c>
      <c r="J73" s="5">
        <f>AVERAGEIFS($I$5:$I$94,$B$5:$B$94,G73,$C$5:$C$94,C73,$E$5:$E$94,1)</f>
        <v/>
      </c>
      <c r="K73" s="7">
        <f>IF(E73=1,2^-(I73-J73),"")</f>
        <v/>
      </c>
      <c r="L73" s="8">
        <f>IF(E73=1,K73*K73,0)</f>
        <v/>
      </c>
    </row>
    <row r="74">
      <c r="A74" s="4" t="inlineStr">
        <is>
          <t>H1</t>
        </is>
      </c>
      <c r="B74" s="4" t="inlineStr">
        <is>
          <t>KerCT 0 días MD3</t>
        </is>
      </c>
      <c r="C74" s="4" t="inlineStr">
        <is>
          <t>IVL</t>
        </is>
      </c>
      <c r="D74" s="5" t="n">
        <v>29.4429759979248</v>
      </c>
      <c r="E74" s="6" t="n">
        <v>1</v>
      </c>
      <c r="F74" s="4" t="n"/>
      <c r="G74" s="4">
        <f>INDEX(Controles!$B$5:$B$9,MATCH(B74,Controles!$A$5:$A$9,0))</f>
        <v/>
      </c>
      <c r="H74" s="5">
        <f>AVERAGEIFS($D$5:$D$94,$B$5:$B$94,B74,$C$5:$C$94,"YWHAZ",$E$5:$E$94,1)</f>
        <v/>
      </c>
      <c r="I74" s="5">
        <f>D74-H74</f>
        <v/>
      </c>
      <c r="J74" s="5">
        <f>AVERAGEIFS($I$5:$I$94,$B$5:$B$94,G74,$C$5:$C$94,C74,$E$5:$E$94,1)</f>
        <v/>
      </c>
      <c r="K74" s="7">
        <f>IF(E74=1,2^-(I74-J74),"")</f>
        <v/>
      </c>
      <c r="L74" s="8">
        <f>IF(E74=1,K74*K74,0)</f>
        <v/>
      </c>
    </row>
    <row r="75">
      <c r="A75" s="4" t="inlineStr">
        <is>
          <t>H2</t>
        </is>
      </c>
      <c r="B75" s="4" t="inlineStr">
        <is>
          <t>KerCT 0 días MD3</t>
        </is>
      </c>
      <c r="C75" s="4" t="inlineStr">
        <is>
          <t>IVL</t>
        </is>
      </c>
      <c r="D75" s="5" t="n">
        <v>27.17058944702148</v>
      </c>
      <c r="E75" s="6" t="n">
        <v>1</v>
      </c>
      <c r="F75" s="4" t="n"/>
      <c r="G75" s="4">
        <f>INDEX(Controles!$B$5:$B$9,MATCH(B75,Controles!$A$5:$A$9,0))</f>
        <v/>
      </c>
      <c r="H75" s="5">
        <f>AVERAGEIFS($D$5:$D$94,$B$5:$B$94,B75,$C$5:$C$94,"YWHAZ",$E$5:$E$94,1)</f>
        <v/>
      </c>
      <c r="I75" s="5">
        <f>D75-H75</f>
        <v/>
      </c>
      <c r="J75" s="5">
        <f>AVERAGEIFS($I$5:$I$94,$B$5:$B$94,G75,$C$5:$C$94,C75,$E$5:$E$94,1)</f>
        <v/>
      </c>
      <c r="K75" s="7">
        <f>IF(E75=1,2^-(I75-J75),"")</f>
        <v/>
      </c>
      <c r="L75" s="8">
        <f>IF(E75=1,K75*K75,0)</f>
        <v/>
      </c>
    </row>
    <row r="76">
      <c r="A76" s="9" t="inlineStr">
        <is>
          <t>H3</t>
        </is>
      </c>
      <c r="B76" s="9" t="inlineStr">
        <is>
          <t>KerCT 0 días MD3</t>
        </is>
      </c>
      <c r="C76" s="9" t="inlineStr">
        <is>
          <t>IVL</t>
        </is>
      </c>
      <c r="D76" s="10" t="n">
        <v>23.91662788391113</v>
      </c>
      <c r="E76" s="11" t="n">
        <v>0</v>
      </c>
      <c r="F76" s="9" t="inlineStr">
        <is>
          <t>Fuera de la media: SD triplicado 2.78 → 1.61 Ct al quitarlo</t>
        </is>
      </c>
      <c r="G76" s="9">
        <f>INDEX(Controles!$B$5:$B$9,MATCH(B76,Controles!$A$5:$A$9,0))</f>
        <v/>
      </c>
      <c r="H76" s="10">
        <f>AVERAGEIFS($D$5:$D$94,$B$5:$B$94,B76,$C$5:$C$94,"YWHAZ",$E$5:$E$94,1)</f>
        <v/>
      </c>
      <c r="I76" s="10">
        <f>D76-H76</f>
        <v/>
      </c>
      <c r="J76" s="10">
        <f>AVERAGEIFS($I$5:$I$94,$B$5:$B$94,G76,$C$5:$C$94,C76,$E$5:$E$94,1)</f>
        <v/>
      </c>
      <c r="K76" s="12">
        <f>IF(E76=1,2^-(I76-J76),"")</f>
        <v/>
      </c>
      <c r="L76" s="13">
        <f>IF(E76=1,K76*K76,0)</f>
        <v/>
      </c>
    </row>
    <row r="77">
      <c r="A77" s="4" t="inlineStr">
        <is>
          <t>A10</t>
        </is>
      </c>
      <c r="B77" s="4" t="inlineStr">
        <is>
          <t>KerCT 7 días MD3</t>
        </is>
      </c>
      <c r="C77" s="4" t="inlineStr">
        <is>
          <t>YWHAZ</t>
        </is>
      </c>
      <c r="D77" s="5" t="n">
        <v>17.45416641235352</v>
      </c>
      <c r="E77" s="6" t="n">
        <v>1</v>
      </c>
      <c r="F77" s="4" t="n"/>
      <c r="G77" s="4">
        <f>INDEX(Controles!$B$5:$B$9,MATCH(B77,Controles!$A$5:$A$9,0))</f>
        <v/>
      </c>
      <c r="H77" s="5">
        <f>AVERAGEIFS($D$5:$D$94,$B$5:$B$94,B77,$C$5:$C$94,"YWHAZ",$E$5:$E$94,1)</f>
        <v/>
      </c>
      <c r="I77" s="4" t="n"/>
      <c r="J77" s="4" t="n"/>
      <c r="K77" s="4" t="n"/>
      <c r="L77" s="4" t="n"/>
    </row>
    <row r="78">
      <c r="A78" s="4" t="inlineStr">
        <is>
          <t>B10</t>
        </is>
      </c>
      <c r="B78" s="4" t="inlineStr">
        <is>
          <t>KerCT 7 días MD3</t>
        </is>
      </c>
      <c r="C78" s="4" t="inlineStr">
        <is>
          <t>YWHAZ</t>
        </is>
      </c>
      <c r="D78" s="5" t="n">
        <v>17.15444564819336</v>
      </c>
      <c r="E78" s="6" t="n">
        <v>1</v>
      </c>
      <c r="F78" s="4" t="n"/>
      <c r="G78" s="4">
        <f>INDEX(Controles!$B$5:$B$9,MATCH(B78,Controles!$A$5:$A$9,0))</f>
        <v/>
      </c>
      <c r="H78" s="5">
        <f>AVERAGEIFS($D$5:$D$94,$B$5:$B$94,B78,$C$5:$C$94,"YWHAZ",$E$5:$E$94,1)</f>
        <v/>
      </c>
      <c r="I78" s="4" t="n"/>
      <c r="J78" s="4" t="n"/>
      <c r="K78" s="4" t="n"/>
      <c r="L78" s="4" t="n"/>
    </row>
    <row r="79">
      <c r="A79" s="4" t="inlineStr">
        <is>
          <t>C10</t>
        </is>
      </c>
      <c r="B79" s="4" t="inlineStr">
        <is>
          <t>KerCT 7 días MD3</t>
        </is>
      </c>
      <c r="C79" s="4" t="inlineStr">
        <is>
          <t>YWHAZ</t>
        </is>
      </c>
      <c r="D79" s="5" t="n">
        <v>17.36949729919434</v>
      </c>
      <c r="E79" s="6" t="n">
        <v>1</v>
      </c>
      <c r="F79" s="4" t="n"/>
      <c r="G79" s="4">
        <f>INDEX(Controles!$B$5:$B$9,MATCH(B79,Controles!$A$5:$A$9,0))</f>
        <v/>
      </c>
      <c r="H79" s="5">
        <f>AVERAGEIFS($D$5:$D$94,$B$5:$B$94,B79,$C$5:$C$94,"YWHAZ",$E$5:$E$94,1)</f>
        <v/>
      </c>
      <c r="I79" s="4" t="n"/>
      <c r="J79" s="4" t="n"/>
      <c r="K79" s="4" t="n"/>
      <c r="L79" s="4" t="n"/>
    </row>
    <row r="80">
      <c r="A80" s="4" t="inlineStr">
        <is>
          <t>B7</t>
        </is>
      </c>
      <c r="B80" s="4" t="inlineStr">
        <is>
          <t>KerCT 7 días MD3</t>
        </is>
      </c>
      <c r="C80" s="4" t="inlineStr">
        <is>
          <t>KRT1</t>
        </is>
      </c>
      <c r="D80" s="5" t="n">
        <v>29.53956031799316</v>
      </c>
      <c r="E80" s="6" t="n">
        <v>1</v>
      </c>
      <c r="F80" s="4" t="n"/>
      <c r="G80" s="4">
        <f>INDEX(Controles!$B$5:$B$9,MATCH(B80,Controles!$A$5:$A$9,0))</f>
        <v/>
      </c>
      <c r="H80" s="5">
        <f>AVERAGEIFS($D$5:$D$94,$B$5:$B$94,B80,$C$5:$C$94,"YWHAZ",$E$5:$E$94,1)</f>
        <v/>
      </c>
      <c r="I80" s="5">
        <f>D80-H80</f>
        <v/>
      </c>
      <c r="J80" s="5">
        <f>AVERAGEIFS($I$5:$I$94,$B$5:$B$94,G80,$C$5:$C$94,C80,$E$5:$E$94,1)</f>
        <v/>
      </c>
      <c r="K80" s="7">
        <f>IF(E80=1,2^-(I80-J80),"")</f>
        <v/>
      </c>
      <c r="L80" s="8">
        <f>IF(E80=1,K80*K80,0)</f>
        <v/>
      </c>
    </row>
    <row r="81">
      <c r="A81" s="4" t="inlineStr">
        <is>
          <t>B8</t>
        </is>
      </c>
      <c r="B81" s="4" t="inlineStr">
        <is>
          <t>KerCT 7 días MD3</t>
        </is>
      </c>
      <c r="C81" s="4" t="inlineStr">
        <is>
          <t>KRT1</t>
        </is>
      </c>
      <c r="D81" s="5" t="n">
        <v>29.43428611755371</v>
      </c>
      <c r="E81" s="6" t="n">
        <v>1</v>
      </c>
      <c r="F81" s="4" t="n"/>
      <c r="G81" s="4">
        <f>INDEX(Controles!$B$5:$B$9,MATCH(B81,Controles!$A$5:$A$9,0))</f>
        <v/>
      </c>
      <c r="H81" s="5">
        <f>AVERAGEIFS($D$5:$D$94,$B$5:$B$94,B81,$C$5:$C$94,"YWHAZ",$E$5:$E$94,1)</f>
        <v/>
      </c>
      <c r="I81" s="5">
        <f>D81-H81</f>
        <v/>
      </c>
      <c r="J81" s="5">
        <f>AVERAGEIFS($I$5:$I$94,$B$5:$B$94,G81,$C$5:$C$94,C81,$E$5:$E$94,1)</f>
        <v/>
      </c>
      <c r="K81" s="7">
        <f>IF(E81=1,2^-(I81-J81),"")</f>
        <v/>
      </c>
      <c r="L81" s="8">
        <f>IF(E81=1,K81*K81,0)</f>
        <v/>
      </c>
    </row>
    <row r="82">
      <c r="A82" s="4" t="inlineStr">
        <is>
          <t>B9</t>
        </is>
      </c>
      <c r="B82" s="4" t="inlineStr">
        <is>
          <t>KerCT 7 días MD3</t>
        </is>
      </c>
      <c r="C82" s="4" t="inlineStr">
        <is>
          <t>KRT1</t>
        </is>
      </c>
      <c r="D82" s="5" t="n">
        <v>29.27937126159668</v>
      </c>
      <c r="E82" s="6" t="n">
        <v>1</v>
      </c>
      <c r="F82" s="4" t="n"/>
      <c r="G82" s="4">
        <f>INDEX(Controles!$B$5:$B$9,MATCH(B82,Controles!$A$5:$A$9,0))</f>
        <v/>
      </c>
      <c r="H82" s="5">
        <f>AVERAGEIFS($D$5:$D$94,$B$5:$B$94,B82,$C$5:$C$94,"YWHAZ",$E$5:$E$94,1)</f>
        <v/>
      </c>
      <c r="I82" s="5">
        <f>D82-H82</f>
        <v/>
      </c>
      <c r="J82" s="5">
        <f>AVERAGEIFS($I$5:$I$94,$B$5:$B$94,G82,$C$5:$C$94,C82,$E$5:$E$94,1)</f>
        <v/>
      </c>
      <c r="K82" s="7">
        <f>IF(E82=1,2^-(I82-J82),"")</f>
        <v/>
      </c>
      <c r="L82" s="8">
        <f>IF(E82=1,K82*K82,0)</f>
        <v/>
      </c>
    </row>
    <row r="83">
      <c r="A83" s="4" t="inlineStr">
        <is>
          <t>F7</t>
        </is>
      </c>
      <c r="B83" s="4" t="inlineStr">
        <is>
          <t>KerCT 7 días MD3</t>
        </is>
      </c>
      <c r="C83" s="4" t="inlineStr">
        <is>
          <t>KRT2</t>
        </is>
      </c>
      <c r="D83" s="5" t="n">
        <v>29.86633491516113</v>
      </c>
      <c r="E83" s="6" t="n">
        <v>1</v>
      </c>
      <c r="F83" s="4" t="n"/>
      <c r="G83" s="4">
        <f>INDEX(Controles!$B$5:$B$9,MATCH(B83,Controles!$A$5:$A$9,0))</f>
        <v/>
      </c>
      <c r="H83" s="5">
        <f>AVERAGEIFS($D$5:$D$94,$B$5:$B$94,B83,$C$5:$C$94,"YWHAZ",$E$5:$E$94,1)</f>
        <v/>
      </c>
      <c r="I83" s="5">
        <f>D83-H83</f>
        <v/>
      </c>
      <c r="J83" s="5">
        <f>AVERAGEIFS($I$5:$I$94,$B$5:$B$94,G83,$C$5:$C$94,C83,$E$5:$E$94,1)</f>
        <v/>
      </c>
      <c r="K83" s="7">
        <f>IF(E83=1,2^-(I83-J83),"")</f>
        <v/>
      </c>
      <c r="L83" s="8">
        <f>IF(E83=1,K83*K83,0)</f>
        <v/>
      </c>
    </row>
    <row r="84">
      <c r="A84" s="4" t="inlineStr">
        <is>
          <t>F8</t>
        </is>
      </c>
      <c r="B84" s="4" t="inlineStr">
        <is>
          <t>KerCT 7 días MD3</t>
        </is>
      </c>
      <c r="C84" s="4" t="inlineStr">
        <is>
          <t>KRT2</t>
        </is>
      </c>
      <c r="D84" s="5" t="n">
        <v>29.92952156066895</v>
      </c>
      <c r="E84" s="6" t="n">
        <v>1</v>
      </c>
      <c r="F84" s="4" t="n"/>
      <c r="G84" s="4">
        <f>INDEX(Controles!$B$5:$B$9,MATCH(B84,Controles!$A$5:$A$9,0))</f>
        <v/>
      </c>
      <c r="H84" s="5">
        <f>AVERAGEIFS($D$5:$D$94,$B$5:$B$94,B84,$C$5:$C$94,"YWHAZ",$E$5:$E$94,1)</f>
        <v/>
      </c>
      <c r="I84" s="5">
        <f>D84-H84</f>
        <v/>
      </c>
      <c r="J84" s="5">
        <f>AVERAGEIFS($I$5:$I$94,$B$5:$B$94,G84,$C$5:$C$94,C84,$E$5:$E$94,1)</f>
        <v/>
      </c>
      <c r="K84" s="7">
        <f>IF(E84=1,2^-(I84-J84),"")</f>
        <v/>
      </c>
      <c r="L84" s="8">
        <f>IF(E84=1,K84*K84,0)</f>
        <v/>
      </c>
    </row>
    <row r="85">
      <c r="A85" s="4" t="inlineStr">
        <is>
          <t>F9</t>
        </is>
      </c>
      <c r="B85" s="4" t="inlineStr">
        <is>
          <t>KerCT 7 días MD3</t>
        </is>
      </c>
      <c r="C85" s="4" t="inlineStr">
        <is>
          <t>KRT2</t>
        </is>
      </c>
      <c r="D85" s="5" t="n">
        <v>29.9112606048584</v>
      </c>
      <c r="E85" s="6" t="n">
        <v>1</v>
      </c>
      <c r="F85" s="4" t="n"/>
      <c r="G85" s="4">
        <f>INDEX(Controles!$B$5:$B$9,MATCH(B85,Controles!$A$5:$A$9,0))</f>
        <v/>
      </c>
      <c r="H85" s="5">
        <f>AVERAGEIFS($D$5:$D$94,$B$5:$B$94,B85,$C$5:$C$94,"YWHAZ",$E$5:$E$94,1)</f>
        <v/>
      </c>
      <c r="I85" s="5">
        <f>D85-H85</f>
        <v/>
      </c>
      <c r="J85" s="5">
        <f>AVERAGEIFS($I$5:$I$94,$B$5:$B$94,G85,$C$5:$C$94,C85,$E$5:$E$94,1)</f>
        <v/>
      </c>
      <c r="K85" s="7">
        <f>IF(E85=1,2^-(I85-J85),"")</f>
        <v/>
      </c>
      <c r="L85" s="8">
        <f>IF(E85=1,K85*K85,0)</f>
        <v/>
      </c>
    </row>
    <row r="86">
      <c r="A86" s="4" t="inlineStr">
        <is>
          <t>D7</t>
        </is>
      </c>
      <c r="B86" s="4" t="inlineStr">
        <is>
          <t>KerCT 7 días MD3</t>
        </is>
      </c>
      <c r="C86" s="4" t="inlineStr">
        <is>
          <t>KRT10</t>
        </is>
      </c>
      <c r="D86" s="5" t="n">
        <v>17.80838775634766</v>
      </c>
      <c r="E86" s="6" t="n">
        <v>1</v>
      </c>
      <c r="F86" s="4" t="n"/>
      <c r="G86" s="4">
        <f>INDEX(Controles!$B$5:$B$9,MATCH(B86,Controles!$A$5:$A$9,0))</f>
        <v/>
      </c>
      <c r="H86" s="5">
        <f>AVERAGEIFS($D$5:$D$94,$B$5:$B$94,B86,$C$5:$C$94,"YWHAZ",$E$5:$E$94,1)</f>
        <v/>
      </c>
      <c r="I86" s="5">
        <f>D86-H86</f>
        <v/>
      </c>
      <c r="J86" s="5">
        <f>AVERAGEIFS($I$5:$I$94,$B$5:$B$94,G86,$C$5:$C$94,C86,$E$5:$E$94,1)</f>
        <v/>
      </c>
      <c r="K86" s="7">
        <f>IF(E86=1,2^-(I86-J86),"")</f>
        <v/>
      </c>
      <c r="L86" s="8">
        <f>IF(E86=1,K86*K86,0)</f>
        <v/>
      </c>
    </row>
    <row r="87">
      <c r="A87" s="4" t="inlineStr">
        <is>
          <t>D8</t>
        </is>
      </c>
      <c r="B87" s="4" t="inlineStr">
        <is>
          <t>KerCT 7 días MD3</t>
        </is>
      </c>
      <c r="C87" s="4" t="inlineStr">
        <is>
          <t>KRT10</t>
        </is>
      </c>
      <c r="D87" s="5" t="n">
        <v>17.7053337097168</v>
      </c>
      <c r="E87" s="6" t="n">
        <v>1</v>
      </c>
      <c r="F87" s="4" t="n"/>
      <c r="G87" s="4">
        <f>INDEX(Controles!$B$5:$B$9,MATCH(B87,Controles!$A$5:$A$9,0))</f>
        <v/>
      </c>
      <c r="H87" s="5">
        <f>AVERAGEIFS($D$5:$D$94,$B$5:$B$94,B87,$C$5:$C$94,"YWHAZ",$E$5:$E$94,1)</f>
        <v/>
      </c>
      <c r="I87" s="5">
        <f>D87-H87</f>
        <v/>
      </c>
      <c r="J87" s="5">
        <f>AVERAGEIFS($I$5:$I$94,$B$5:$B$94,G87,$C$5:$C$94,C87,$E$5:$E$94,1)</f>
        <v/>
      </c>
      <c r="K87" s="7">
        <f>IF(E87=1,2^-(I87-J87),"")</f>
        <v/>
      </c>
      <c r="L87" s="8">
        <f>IF(E87=1,K87*K87,0)</f>
        <v/>
      </c>
    </row>
    <row r="88">
      <c r="A88" s="4" t="inlineStr">
        <is>
          <t>D9</t>
        </is>
      </c>
      <c r="B88" s="4" t="inlineStr">
        <is>
          <t>KerCT 7 días MD3</t>
        </is>
      </c>
      <c r="C88" s="4" t="inlineStr">
        <is>
          <t>KRT10</t>
        </is>
      </c>
      <c r="D88" s="5" t="n">
        <v>17.75698471069336</v>
      </c>
      <c r="E88" s="6" t="n">
        <v>1</v>
      </c>
      <c r="F88" s="4" t="n"/>
      <c r="G88" s="4">
        <f>INDEX(Controles!$B$5:$B$9,MATCH(B88,Controles!$A$5:$A$9,0))</f>
        <v/>
      </c>
      <c r="H88" s="5">
        <f>AVERAGEIFS($D$5:$D$94,$B$5:$B$94,B88,$C$5:$C$94,"YWHAZ",$E$5:$E$94,1)</f>
        <v/>
      </c>
      <c r="I88" s="5">
        <f>D88-H88</f>
        <v/>
      </c>
      <c r="J88" s="5">
        <f>AVERAGEIFS($I$5:$I$94,$B$5:$B$94,G88,$C$5:$C$94,C88,$E$5:$E$94,1)</f>
        <v/>
      </c>
      <c r="K88" s="7">
        <f>IF(E88=1,2^-(I88-J88),"")</f>
        <v/>
      </c>
      <c r="L88" s="8">
        <f>IF(E88=1,K88*K88,0)</f>
        <v/>
      </c>
    </row>
    <row r="89">
      <c r="A89" s="4" t="inlineStr">
        <is>
          <t>D11</t>
        </is>
      </c>
      <c r="B89" s="4" t="inlineStr">
        <is>
          <t>KerCT 7 días MD3</t>
        </is>
      </c>
      <c r="C89" s="4" t="inlineStr">
        <is>
          <t>KRT14</t>
        </is>
      </c>
      <c r="D89" s="5" t="n">
        <v>25.06159019470215</v>
      </c>
      <c r="E89" s="6" t="n">
        <v>1</v>
      </c>
      <c r="F89" s="4" t="n"/>
      <c r="G89" s="4">
        <f>INDEX(Controles!$B$5:$B$9,MATCH(B89,Controles!$A$5:$A$9,0))</f>
        <v/>
      </c>
      <c r="H89" s="5">
        <f>AVERAGEIFS($D$5:$D$94,$B$5:$B$94,B89,$C$5:$C$94,"YWHAZ",$E$5:$E$94,1)</f>
        <v/>
      </c>
      <c r="I89" s="5">
        <f>D89-H89</f>
        <v/>
      </c>
      <c r="J89" s="5">
        <f>AVERAGEIFS($I$5:$I$94,$B$5:$B$94,G89,$C$5:$C$94,C89,$E$5:$E$94,1)</f>
        <v/>
      </c>
      <c r="K89" s="7">
        <f>IF(E89=1,2^-(I89-J89),"")</f>
        <v/>
      </c>
      <c r="L89" s="8">
        <f>IF(E89=1,K89*K89,0)</f>
        <v/>
      </c>
    </row>
    <row r="90">
      <c r="A90" s="4" t="inlineStr">
        <is>
          <t>E11</t>
        </is>
      </c>
      <c r="B90" s="4" t="inlineStr">
        <is>
          <t>KerCT 7 días MD3</t>
        </is>
      </c>
      <c r="C90" s="4" t="inlineStr">
        <is>
          <t>KRT14</t>
        </is>
      </c>
      <c r="D90" s="5" t="n">
        <v>25.23465347290039</v>
      </c>
      <c r="E90" s="6" t="n">
        <v>1</v>
      </c>
      <c r="F90" s="4" t="n"/>
      <c r="G90" s="4">
        <f>INDEX(Controles!$B$5:$B$9,MATCH(B90,Controles!$A$5:$A$9,0))</f>
        <v/>
      </c>
      <c r="H90" s="5">
        <f>AVERAGEIFS($D$5:$D$94,$B$5:$B$94,B90,$C$5:$C$94,"YWHAZ",$E$5:$E$94,1)</f>
        <v/>
      </c>
      <c r="I90" s="5">
        <f>D90-H90</f>
        <v/>
      </c>
      <c r="J90" s="5">
        <f>AVERAGEIFS($I$5:$I$94,$B$5:$B$94,G90,$C$5:$C$94,C90,$E$5:$E$94,1)</f>
        <v/>
      </c>
      <c r="K90" s="7">
        <f>IF(E90=1,2^-(I90-J90),"")</f>
        <v/>
      </c>
      <c r="L90" s="8">
        <f>IF(E90=1,K90*K90,0)</f>
        <v/>
      </c>
    </row>
    <row r="91">
      <c r="A91" s="4" t="inlineStr">
        <is>
          <t>F11</t>
        </is>
      </c>
      <c r="B91" s="4" t="inlineStr">
        <is>
          <t>KerCT 7 días MD3</t>
        </is>
      </c>
      <c r="C91" s="4" t="inlineStr">
        <is>
          <t>KRT14</t>
        </is>
      </c>
      <c r="D91" s="5" t="n">
        <v>25.15188217163086</v>
      </c>
      <c r="E91" s="6" t="n">
        <v>1</v>
      </c>
      <c r="F91" s="4" t="n"/>
      <c r="G91" s="4">
        <f>INDEX(Controles!$B$5:$B$9,MATCH(B91,Controles!$A$5:$A$9,0))</f>
        <v/>
      </c>
      <c r="H91" s="5">
        <f>AVERAGEIFS($D$5:$D$94,$B$5:$B$94,B91,$C$5:$C$94,"YWHAZ",$E$5:$E$94,1)</f>
        <v/>
      </c>
      <c r="I91" s="5">
        <f>D91-H91</f>
        <v/>
      </c>
      <c r="J91" s="5">
        <f>AVERAGEIFS($I$5:$I$94,$B$5:$B$94,G91,$C$5:$C$94,C91,$E$5:$E$94,1)</f>
        <v/>
      </c>
      <c r="K91" s="7">
        <f>IF(E91=1,2^-(I91-J91),"")</f>
        <v/>
      </c>
      <c r="L91" s="8">
        <f>IF(E91=1,K91*K91,0)</f>
        <v/>
      </c>
    </row>
    <row r="92">
      <c r="A92" s="4" t="inlineStr">
        <is>
          <t>H7</t>
        </is>
      </c>
      <c r="B92" s="4" t="inlineStr">
        <is>
          <t>KerCT 7 días MD3</t>
        </is>
      </c>
      <c r="C92" s="4" t="inlineStr">
        <is>
          <t>IVL</t>
        </is>
      </c>
      <c r="D92" s="5" t="n">
        <v>25.49399566650391</v>
      </c>
      <c r="E92" s="6" t="n">
        <v>1</v>
      </c>
      <c r="F92" s="4" t="n"/>
      <c r="G92" s="4">
        <f>INDEX(Controles!$B$5:$B$9,MATCH(B92,Controles!$A$5:$A$9,0))</f>
        <v/>
      </c>
      <c r="H92" s="5">
        <f>AVERAGEIFS($D$5:$D$94,$B$5:$B$94,B92,$C$5:$C$94,"YWHAZ",$E$5:$E$94,1)</f>
        <v/>
      </c>
      <c r="I92" s="5">
        <f>D92-H92</f>
        <v/>
      </c>
      <c r="J92" s="5">
        <f>AVERAGEIFS($I$5:$I$94,$B$5:$B$94,G92,$C$5:$C$94,C92,$E$5:$E$94,1)</f>
        <v/>
      </c>
      <c r="K92" s="7">
        <f>IF(E92=1,2^-(I92-J92),"")</f>
        <v/>
      </c>
      <c r="L92" s="8">
        <f>IF(E92=1,K92*K92,0)</f>
        <v/>
      </c>
    </row>
    <row r="93">
      <c r="A93" s="4" t="inlineStr">
        <is>
          <t>H8</t>
        </is>
      </c>
      <c r="B93" s="4" t="inlineStr">
        <is>
          <t>KerCT 7 días MD3</t>
        </is>
      </c>
      <c r="C93" s="4" t="inlineStr">
        <is>
          <t>IVL</t>
        </is>
      </c>
      <c r="D93" s="5" t="n">
        <v>25.31425666809082</v>
      </c>
      <c r="E93" s="6" t="n">
        <v>1</v>
      </c>
      <c r="F93" s="4" t="n"/>
      <c r="G93" s="4">
        <f>INDEX(Controles!$B$5:$B$9,MATCH(B93,Controles!$A$5:$A$9,0))</f>
        <v/>
      </c>
      <c r="H93" s="5">
        <f>AVERAGEIFS($D$5:$D$94,$B$5:$B$94,B93,$C$5:$C$94,"YWHAZ",$E$5:$E$94,1)</f>
        <v/>
      </c>
      <c r="I93" s="5">
        <f>D93-H93</f>
        <v/>
      </c>
      <c r="J93" s="5">
        <f>AVERAGEIFS($I$5:$I$94,$B$5:$B$94,G93,$C$5:$C$94,C93,$E$5:$E$94,1)</f>
        <v/>
      </c>
      <c r="K93" s="7">
        <f>IF(E93=1,2^-(I93-J93),"")</f>
        <v/>
      </c>
      <c r="L93" s="8">
        <f>IF(E93=1,K93*K93,0)</f>
        <v/>
      </c>
    </row>
    <row r="94">
      <c r="A94" s="4" t="inlineStr">
        <is>
          <t>H9</t>
        </is>
      </c>
      <c r="B94" s="4" t="inlineStr">
        <is>
          <t>KerCT 7 días MD3</t>
        </is>
      </c>
      <c r="C94" s="4" t="inlineStr">
        <is>
          <t>IVL</t>
        </is>
      </c>
      <c r="D94" s="5" t="n">
        <v>24.95571136474609</v>
      </c>
      <c r="E94" s="6" t="n">
        <v>1</v>
      </c>
      <c r="F94" s="4" t="n"/>
      <c r="G94" s="4">
        <f>INDEX(Controles!$B$5:$B$9,MATCH(B94,Controles!$A$5:$A$9,0))</f>
        <v/>
      </c>
      <c r="H94" s="5">
        <f>AVERAGEIFS($D$5:$D$94,$B$5:$B$94,B94,$C$5:$C$94,"YWHAZ",$E$5:$E$94,1)</f>
        <v/>
      </c>
      <c r="I94" s="5">
        <f>D94-H94</f>
        <v/>
      </c>
      <c r="J94" s="5">
        <f>AVERAGEIFS($I$5:$I$94,$B$5:$B$94,G94,$C$5:$C$94,C94,$E$5:$E$94,1)</f>
        <v/>
      </c>
      <c r="K94" s="7">
        <f>IF(E94=1,2^-(I94-J94),"")</f>
        <v/>
      </c>
      <c r="L94" s="8">
        <f>IF(E94=1,K94*K94,0)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Línea control de cada muestra</t>
        </is>
      </c>
    </row>
    <row r="2">
      <c r="A2" s="2" t="inlineStr">
        <is>
          <t>Indicado por el usuario (azul = editable).</t>
        </is>
      </c>
    </row>
    <row r="4">
      <c r="A4" s="3" t="inlineStr">
        <is>
          <t>Muestra</t>
        </is>
      </c>
      <c r="B4" s="3" t="inlineStr">
        <is>
          <t>Control</t>
        </is>
      </c>
    </row>
    <row r="5">
      <c r="A5" s="4" t="inlineStr">
        <is>
          <t>KerCT 0 días MD2</t>
        </is>
      </c>
      <c r="B5" s="6" t="inlineStr">
        <is>
          <t>KerCT 0 días MD2</t>
        </is>
      </c>
    </row>
    <row r="6">
      <c r="A6" s="4" t="inlineStr">
        <is>
          <t>KerCT 7 días MD2 1</t>
        </is>
      </c>
      <c r="B6" s="6" t="inlineStr">
        <is>
          <t>KerCT 0 días MD2</t>
        </is>
      </c>
    </row>
    <row r="7">
      <c r="A7" s="4" t="inlineStr">
        <is>
          <t>KerCT 7 días MD2 2</t>
        </is>
      </c>
      <c r="B7" s="6" t="inlineStr">
        <is>
          <t>KerCT 0 días MD2</t>
        </is>
      </c>
    </row>
    <row r="8">
      <c r="A8" s="4" t="inlineStr">
        <is>
          <t>KerCT 0 días MD3</t>
        </is>
      </c>
      <c r="B8" s="6" t="inlineStr">
        <is>
          <t>KerCT 0 días MD3</t>
        </is>
      </c>
    </row>
    <row r="9">
      <c r="A9" s="4" t="inlineStr">
        <is>
          <t>KerCT 7 días MD3</t>
        </is>
      </c>
      <c r="B9" s="6" t="inlineStr">
        <is>
          <t>KerCT 0 días MD3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5" customWidth="1" min="4" max="4"/>
    <col width="11" customWidth="1" min="5" max="5"/>
    <col width="10" customWidth="1" min="6" max="6"/>
    <col width="12" customWidth="1" min="7" max="7"/>
    <col width="8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Resumen: expresión relativa (RQ) media ± SD de las réplicas incluidas</t>
        </is>
      </c>
    </row>
    <row r="3">
      <c r="A3" s="3" t="inlineStr">
        <is>
          <t>Muestra</t>
        </is>
      </c>
      <c r="B3" s="3" t="inlineStr">
        <is>
          <t>Gen</t>
        </is>
      </c>
      <c r="C3" s="3" t="inlineStr">
        <is>
          <t>Control</t>
        </is>
      </c>
      <c r="D3" s="3" t="inlineStr">
        <is>
          <t>n</t>
        </is>
      </c>
      <c r="E3" s="3" t="inlineStr">
        <is>
          <t>RQ media</t>
        </is>
      </c>
      <c r="F3" s="3" t="inlineStr">
        <is>
          <t>SD</t>
        </is>
      </c>
      <c r="G3" s="3" t="inlineStr">
        <is>
          <t>Nota</t>
        </is>
      </c>
      <c r="I3" s="14" t="inlineStr">
        <is>
          <t>MD2 – RQ media</t>
        </is>
      </c>
    </row>
    <row r="4" ht="30" customHeight="1">
      <c r="A4" s="4" t="inlineStr">
        <is>
          <t>KerCT 0 días MD2</t>
        </is>
      </c>
      <c r="B4" s="4" t="inlineStr">
        <is>
          <t>KRT1</t>
        </is>
      </c>
      <c r="C4" s="4">
        <f>INDEX(Controles!$B$5:$B$9,MATCH(A4,Controles!$A$5:$A$9,0))</f>
        <v/>
      </c>
      <c r="D4" s="4">
        <f>COUNTIFS(Datos!$B$5:$B$94,$A4,Datos!$C$5:$C$94,$B4,Datos!$E$5:$E$94,1)</f>
        <v/>
      </c>
      <c r="E4" s="7">
        <f>AVERAGEIFS(Datos!$K$5:$K$94,Datos!$B$5:$B$94,$A4,Datos!$C$5:$C$94,$B4,Datos!$E$5:$E$94,1)</f>
        <v/>
      </c>
      <c r="F4" s="7">
        <f>IF(D4&gt;1,SQRT(MAX(0,(SUMIFS(Datos!$L$5:$L$94,Datos!$B$5:$B$94,$A4,Datos!$C$5:$C$94,$B4,Datos!$E$5:$E$94,1)-D4*E4^2)/(D4-1))),0)</f>
        <v/>
      </c>
      <c r="G4" s="4">
        <f>IF(D4&lt;3,"duplicado","")</f>
        <v/>
      </c>
      <c r="I4" s="3" t="inlineStr">
        <is>
          <t>Gen</t>
        </is>
      </c>
      <c r="J4" s="3" t="inlineStr">
        <is>
          <t>KerCT 0 días MD2</t>
        </is>
      </c>
      <c r="K4" s="3" t="inlineStr">
        <is>
          <t>KerCT 7 días MD2 1</t>
        </is>
      </c>
      <c r="L4" s="3" t="inlineStr">
        <is>
          <t>KerCT 7 días MD2 2</t>
        </is>
      </c>
    </row>
    <row r="5">
      <c r="A5" s="4" t="inlineStr">
        <is>
          <t>KerCT 0 días MD2</t>
        </is>
      </c>
      <c r="B5" s="4" t="inlineStr">
        <is>
          <t>KRT2</t>
        </is>
      </c>
      <c r="C5" s="4">
        <f>INDEX(Controles!$B$5:$B$9,MATCH(A5,Controles!$A$5:$A$9,0))</f>
        <v/>
      </c>
      <c r="D5" s="4">
        <f>COUNTIFS(Datos!$B$5:$B$94,$A5,Datos!$C$5:$C$94,$B5,Datos!$E$5:$E$94,1)</f>
        <v/>
      </c>
      <c r="E5" s="7">
        <f>AVERAGEIFS(Datos!$K$5:$K$94,Datos!$B$5:$B$94,$A5,Datos!$C$5:$C$94,$B5,Datos!$E$5:$E$94,1)</f>
        <v/>
      </c>
      <c r="F5" s="7">
        <f>IF(D5&gt;1,SQRT(MAX(0,(SUMIFS(Datos!$L$5:$L$94,Datos!$B$5:$B$94,$A5,Datos!$C$5:$C$94,$B5,Datos!$E$5:$E$94,1)-D5*E5^2)/(D5-1))),0)</f>
        <v/>
      </c>
      <c r="G5" s="4">
        <f>IF(D5&lt;3,"duplicado","")</f>
        <v/>
      </c>
      <c r="I5" s="4" t="inlineStr">
        <is>
          <t>KRT1</t>
        </is>
      </c>
      <c r="J5" s="7">
        <f>SUMIFS($E$4:$E$28,$A$4:$A$28,J4,$B$4:$B$28,$I5)</f>
        <v/>
      </c>
      <c r="K5" s="7">
        <f>SUMIFS($E$4:$E$28,$A$4:$A$28,K4,$B$4:$B$28,$I5)</f>
        <v/>
      </c>
      <c r="L5" s="7">
        <f>SUMIFS($E$4:$E$28,$A$4:$A$28,L4,$B$4:$B$28,$I5)</f>
        <v/>
      </c>
    </row>
    <row r="6">
      <c r="A6" s="4" t="inlineStr">
        <is>
          <t>KerCT 0 días MD2</t>
        </is>
      </c>
      <c r="B6" s="4" t="inlineStr">
        <is>
          <t>KRT10</t>
        </is>
      </c>
      <c r="C6" s="4">
        <f>INDEX(Controles!$B$5:$B$9,MATCH(A6,Controles!$A$5:$A$9,0))</f>
        <v/>
      </c>
      <c r="D6" s="4">
        <f>COUNTIFS(Datos!$B$5:$B$94,$A6,Datos!$C$5:$C$94,$B6,Datos!$E$5:$E$94,1)</f>
        <v/>
      </c>
      <c r="E6" s="7">
        <f>AVERAGEIFS(Datos!$K$5:$K$94,Datos!$B$5:$B$94,$A6,Datos!$C$5:$C$94,$B6,Datos!$E$5:$E$94,1)</f>
        <v/>
      </c>
      <c r="F6" s="7">
        <f>IF(D6&gt;1,SQRT(MAX(0,(SUMIFS(Datos!$L$5:$L$94,Datos!$B$5:$B$94,$A6,Datos!$C$5:$C$94,$B6,Datos!$E$5:$E$94,1)-D6*E6^2)/(D6-1))),0)</f>
        <v/>
      </c>
      <c r="G6" s="4">
        <f>IF(D6&lt;3,"duplicado","")</f>
        <v/>
      </c>
      <c r="I6" s="4" t="inlineStr">
        <is>
          <t>KRT2</t>
        </is>
      </c>
      <c r="J6" s="7">
        <f>SUMIFS($E$4:$E$28,$A$4:$A$28,J4,$B$4:$B$28,$I6)</f>
        <v/>
      </c>
      <c r="K6" s="7">
        <f>SUMIFS($E$4:$E$28,$A$4:$A$28,K4,$B$4:$B$28,$I6)</f>
        <v/>
      </c>
      <c r="L6" s="7">
        <f>SUMIFS($E$4:$E$28,$A$4:$A$28,L4,$B$4:$B$28,$I6)</f>
        <v/>
      </c>
    </row>
    <row r="7">
      <c r="A7" s="4" t="inlineStr">
        <is>
          <t>KerCT 0 días MD2</t>
        </is>
      </c>
      <c r="B7" s="4" t="inlineStr">
        <is>
          <t>KRT14</t>
        </is>
      </c>
      <c r="C7" s="4">
        <f>INDEX(Controles!$B$5:$B$9,MATCH(A7,Controles!$A$5:$A$9,0))</f>
        <v/>
      </c>
      <c r="D7" s="4">
        <f>COUNTIFS(Datos!$B$5:$B$94,$A7,Datos!$C$5:$C$94,$B7,Datos!$E$5:$E$94,1)</f>
        <v/>
      </c>
      <c r="E7" s="7">
        <f>AVERAGEIFS(Datos!$K$5:$K$94,Datos!$B$5:$B$94,$A7,Datos!$C$5:$C$94,$B7,Datos!$E$5:$E$94,1)</f>
        <v/>
      </c>
      <c r="F7" s="7">
        <f>IF(D7&gt;1,SQRT(MAX(0,(SUMIFS(Datos!$L$5:$L$94,Datos!$B$5:$B$94,$A7,Datos!$C$5:$C$94,$B7,Datos!$E$5:$E$94,1)-D7*E7^2)/(D7-1))),0)</f>
        <v/>
      </c>
      <c r="G7" s="4">
        <f>IF(D7&lt;3,"duplicado","")</f>
        <v/>
      </c>
      <c r="I7" s="4" t="inlineStr">
        <is>
          <t>KRT10</t>
        </is>
      </c>
      <c r="J7" s="7">
        <f>SUMIFS($E$4:$E$28,$A$4:$A$28,J4,$B$4:$B$28,$I7)</f>
        <v/>
      </c>
      <c r="K7" s="7">
        <f>SUMIFS($E$4:$E$28,$A$4:$A$28,K4,$B$4:$B$28,$I7)</f>
        <v/>
      </c>
      <c r="L7" s="7">
        <f>SUMIFS($E$4:$E$28,$A$4:$A$28,L4,$B$4:$B$28,$I7)</f>
        <v/>
      </c>
    </row>
    <row r="8">
      <c r="A8" s="4" t="inlineStr">
        <is>
          <t>KerCT 0 días MD2</t>
        </is>
      </c>
      <c r="B8" s="4" t="inlineStr">
        <is>
          <t>IVL</t>
        </is>
      </c>
      <c r="C8" s="4">
        <f>INDEX(Controles!$B$5:$B$9,MATCH(A8,Controles!$A$5:$A$9,0))</f>
        <v/>
      </c>
      <c r="D8" s="4">
        <f>COUNTIFS(Datos!$B$5:$B$94,$A8,Datos!$C$5:$C$94,$B8,Datos!$E$5:$E$94,1)</f>
        <v/>
      </c>
      <c r="E8" s="7">
        <f>AVERAGEIFS(Datos!$K$5:$K$94,Datos!$B$5:$B$94,$A8,Datos!$C$5:$C$94,$B8,Datos!$E$5:$E$94,1)</f>
        <v/>
      </c>
      <c r="F8" s="7">
        <f>IF(D8&gt;1,SQRT(MAX(0,(SUMIFS(Datos!$L$5:$L$94,Datos!$B$5:$B$94,$A8,Datos!$C$5:$C$94,$B8,Datos!$E$5:$E$94,1)-D8*E8^2)/(D8-1))),0)</f>
        <v/>
      </c>
      <c r="G8" s="4">
        <f>IF(D8&lt;3,"duplicado","")</f>
        <v/>
      </c>
      <c r="I8" s="4" t="inlineStr">
        <is>
          <t>KRT14</t>
        </is>
      </c>
      <c r="J8" s="7">
        <f>SUMIFS($E$4:$E$28,$A$4:$A$28,J4,$B$4:$B$28,$I8)</f>
        <v/>
      </c>
      <c r="K8" s="7">
        <f>SUMIFS($E$4:$E$28,$A$4:$A$28,K4,$B$4:$B$28,$I8)</f>
        <v/>
      </c>
      <c r="L8" s="7">
        <f>SUMIFS($E$4:$E$28,$A$4:$A$28,L4,$B$4:$B$28,$I8)</f>
        <v/>
      </c>
    </row>
    <row r="9">
      <c r="A9" s="4" t="inlineStr">
        <is>
          <t>KerCT 7 días MD2 1</t>
        </is>
      </c>
      <c r="B9" s="4" t="inlineStr">
        <is>
          <t>KRT1</t>
        </is>
      </c>
      <c r="C9" s="4">
        <f>INDEX(Controles!$B$5:$B$9,MATCH(A9,Controles!$A$5:$A$9,0))</f>
        <v/>
      </c>
      <c r="D9" s="4">
        <f>COUNTIFS(Datos!$B$5:$B$94,$A9,Datos!$C$5:$C$94,$B9,Datos!$E$5:$E$94,1)</f>
        <v/>
      </c>
      <c r="E9" s="7">
        <f>AVERAGEIFS(Datos!$K$5:$K$94,Datos!$B$5:$B$94,$A9,Datos!$C$5:$C$94,$B9,Datos!$E$5:$E$94,1)</f>
        <v/>
      </c>
      <c r="F9" s="7">
        <f>IF(D9&gt;1,SQRT(MAX(0,(SUMIFS(Datos!$L$5:$L$94,Datos!$B$5:$B$94,$A9,Datos!$C$5:$C$94,$B9,Datos!$E$5:$E$94,1)-D9*E9^2)/(D9-1))),0)</f>
        <v/>
      </c>
      <c r="G9" s="4">
        <f>IF(D9&lt;3,"duplicado","")</f>
        <v/>
      </c>
      <c r="I9" s="4" t="inlineStr">
        <is>
          <t>IVL</t>
        </is>
      </c>
      <c r="J9" s="7">
        <f>SUMIFS($E$4:$E$28,$A$4:$A$28,J4,$B$4:$B$28,$I9)</f>
        <v/>
      </c>
      <c r="K9" s="7">
        <f>SUMIFS($E$4:$E$28,$A$4:$A$28,K4,$B$4:$B$28,$I9)</f>
        <v/>
      </c>
      <c r="L9" s="7">
        <f>SUMIFS($E$4:$E$28,$A$4:$A$28,L4,$B$4:$B$28,$I9)</f>
        <v/>
      </c>
    </row>
    <row r="10">
      <c r="A10" s="4" t="inlineStr">
        <is>
          <t>KerCT 7 días MD2 1</t>
        </is>
      </c>
      <c r="B10" s="4" t="inlineStr">
        <is>
          <t>KRT2</t>
        </is>
      </c>
      <c r="C10" s="4">
        <f>INDEX(Controles!$B$5:$B$9,MATCH(A10,Controles!$A$5:$A$9,0))</f>
        <v/>
      </c>
      <c r="D10" s="4">
        <f>COUNTIFS(Datos!$B$5:$B$94,$A10,Datos!$C$5:$C$94,$B10,Datos!$E$5:$E$94,1)</f>
        <v/>
      </c>
      <c r="E10" s="7">
        <f>AVERAGEIFS(Datos!$K$5:$K$94,Datos!$B$5:$B$94,$A10,Datos!$C$5:$C$94,$B10,Datos!$E$5:$E$94,1)</f>
        <v/>
      </c>
      <c r="F10" s="7">
        <f>IF(D10&gt;1,SQRT(MAX(0,(SUMIFS(Datos!$L$5:$L$94,Datos!$B$5:$B$94,$A10,Datos!$C$5:$C$94,$B10,Datos!$E$5:$E$94,1)-D10*E10^2)/(D10-1))),0)</f>
        <v/>
      </c>
      <c r="G10" s="4">
        <f>IF(D10&lt;3,"duplicado","")</f>
        <v/>
      </c>
    </row>
    <row r="11">
      <c r="A11" s="4" t="inlineStr">
        <is>
          <t>KerCT 7 días MD2 1</t>
        </is>
      </c>
      <c r="B11" s="4" t="inlineStr">
        <is>
          <t>KRT10</t>
        </is>
      </c>
      <c r="C11" s="4">
        <f>INDEX(Controles!$B$5:$B$9,MATCH(A11,Controles!$A$5:$A$9,0))</f>
        <v/>
      </c>
      <c r="D11" s="4">
        <f>COUNTIFS(Datos!$B$5:$B$94,$A11,Datos!$C$5:$C$94,$B11,Datos!$E$5:$E$94,1)</f>
        <v/>
      </c>
      <c r="E11" s="7">
        <f>AVERAGEIFS(Datos!$K$5:$K$94,Datos!$B$5:$B$94,$A11,Datos!$C$5:$C$94,$B11,Datos!$E$5:$E$94,1)</f>
        <v/>
      </c>
      <c r="F11" s="7">
        <f>IF(D11&gt;1,SQRT(MAX(0,(SUMIFS(Datos!$L$5:$L$94,Datos!$B$5:$B$94,$A11,Datos!$C$5:$C$94,$B11,Datos!$E$5:$E$94,1)-D11*E11^2)/(D11-1))),0)</f>
        <v/>
      </c>
      <c r="G11" s="4">
        <f>IF(D11&lt;3,"duplicado","")</f>
        <v/>
      </c>
      <c r="I11" s="14" t="inlineStr">
        <is>
          <t>MD2 – SD</t>
        </is>
      </c>
    </row>
    <row r="12" ht="30" customHeight="1">
      <c r="A12" s="4" t="inlineStr">
        <is>
          <t>KerCT 7 días MD2 1</t>
        </is>
      </c>
      <c r="B12" s="4" t="inlineStr">
        <is>
          <t>KRT14</t>
        </is>
      </c>
      <c r="C12" s="4">
        <f>INDEX(Controles!$B$5:$B$9,MATCH(A12,Controles!$A$5:$A$9,0))</f>
        <v/>
      </c>
      <c r="D12" s="4">
        <f>COUNTIFS(Datos!$B$5:$B$94,$A12,Datos!$C$5:$C$94,$B12,Datos!$E$5:$E$94,1)</f>
        <v/>
      </c>
      <c r="E12" s="7">
        <f>AVERAGEIFS(Datos!$K$5:$K$94,Datos!$B$5:$B$94,$A12,Datos!$C$5:$C$94,$B12,Datos!$E$5:$E$94,1)</f>
        <v/>
      </c>
      <c r="F12" s="7">
        <f>IF(D12&gt;1,SQRT(MAX(0,(SUMIFS(Datos!$L$5:$L$94,Datos!$B$5:$B$94,$A12,Datos!$C$5:$C$94,$B12,Datos!$E$5:$E$94,1)-D12*E12^2)/(D12-1))),0)</f>
        <v/>
      </c>
      <c r="G12" s="4">
        <f>IF(D12&lt;3,"duplicado","")</f>
        <v/>
      </c>
      <c r="I12" s="3" t="inlineStr">
        <is>
          <t>Gen</t>
        </is>
      </c>
      <c r="J12" s="3" t="inlineStr">
        <is>
          <t>KerCT 0 días MD2</t>
        </is>
      </c>
      <c r="K12" s="3" t="inlineStr">
        <is>
          <t>KerCT 7 días MD2 1</t>
        </is>
      </c>
      <c r="L12" s="3" t="inlineStr">
        <is>
          <t>KerCT 7 días MD2 2</t>
        </is>
      </c>
    </row>
    <row r="13">
      <c r="A13" s="4" t="inlineStr">
        <is>
          <t>KerCT 7 días MD2 1</t>
        </is>
      </c>
      <c r="B13" s="4" t="inlineStr">
        <is>
          <t>IVL</t>
        </is>
      </c>
      <c r="C13" s="4">
        <f>INDEX(Controles!$B$5:$B$9,MATCH(A13,Controles!$A$5:$A$9,0))</f>
        <v/>
      </c>
      <c r="D13" s="4">
        <f>COUNTIFS(Datos!$B$5:$B$94,$A13,Datos!$C$5:$C$94,$B13,Datos!$E$5:$E$94,1)</f>
        <v/>
      </c>
      <c r="E13" s="7">
        <f>AVERAGEIFS(Datos!$K$5:$K$94,Datos!$B$5:$B$94,$A13,Datos!$C$5:$C$94,$B13,Datos!$E$5:$E$94,1)</f>
        <v/>
      </c>
      <c r="F13" s="7">
        <f>IF(D13&gt;1,SQRT(MAX(0,(SUMIFS(Datos!$L$5:$L$94,Datos!$B$5:$B$94,$A13,Datos!$C$5:$C$94,$B13,Datos!$E$5:$E$94,1)-D13*E13^2)/(D13-1))),0)</f>
        <v/>
      </c>
      <c r="G13" s="4">
        <f>IF(D13&lt;3,"duplicado","")</f>
        <v/>
      </c>
      <c r="I13" s="4" t="inlineStr">
        <is>
          <t>KRT1</t>
        </is>
      </c>
      <c r="J13" s="7">
        <f>SUMIFS($F$4:$F$28,$A$4:$A$28,J12,$B$4:$B$28,$I13)</f>
        <v/>
      </c>
      <c r="K13" s="7">
        <f>SUMIFS($F$4:$F$28,$A$4:$A$28,K12,$B$4:$B$28,$I13)</f>
        <v/>
      </c>
      <c r="L13" s="7">
        <f>SUMIFS($F$4:$F$28,$A$4:$A$28,L12,$B$4:$B$28,$I13)</f>
        <v/>
      </c>
    </row>
    <row r="14">
      <c r="A14" s="4" t="inlineStr">
        <is>
          <t>KerCT 7 días MD2 2</t>
        </is>
      </c>
      <c r="B14" s="4" t="inlineStr">
        <is>
          <t>KRT1</t>
        </is>
      </c>
      <c r="C14" s="4">
        <f>INDEX(Controles!$B$5:$B$9,MATCH(A14,Controles!$A$5:$A$9,0))</f>
        <v/>
      </c>
      <c r="D14" s="4">
        <f>COUNTIFS(Datos!$B$5:$B$94,$A14,Datos!$C$5:$C$94,$B14,Datos!$E$5:$E$94,1)</f>
        <v/>
      </c>
      <c r="E14" s="7">
        <f>AVERAGEIFS(Datos!$K$5:$K$94,Datos!$B$5:$B$94,$A14,Datos!$C$5:$C$94,$B14,Datos!$E$5:$E$94,1)</f>
        <v/>
      </c>
      <c r="F14" s="7">
        <f>IF(D14&gt;1,SQRT(MAX(0,(SUMIFS(Datos!$L$5:$L$94,Datos!$B$5:$B$94,$A14,Datos!$C$5:$C$94,$B14,Datos!$E$5:$E$94,1)-D14*E14^2)/(D14-1))),0)</f>
        <v/>
      </c>
      <c r="G14" s="4">
        <f>IF(D14&lt;3,"duplicado","")</f>
        <v/>
      </c>
      <c r="I14" s="4" t="inlineStr">
        <is>
          <t>KRT2</t>
        </is>
      </c>
      <c r="J14" s="7">
        <f>SUMIFS($F$4:$F$28,$A$4:$A$28,J12,$B$4:$B$28,$I14)</f>
        <v/>
      </c>
      <c r="K14" s="7">
        <f>SUMIFS($F$4:$F$28,$A$4:$A$28,K12,$B$4:$B$28,$I14)</f>
        <v/>
      </c>
      <c r="L14" s="7">
        <f>SUMIFS($F$4:$F$28,$A$4:$A$28,L12,$B$4:$B$28,$I14)</f>
        <v/>
      </c>
    </row>
    <row r="15">
      <c r="A15" s="4" t="inlineStr">
        <is>
          <t>KerCT 7 días MD2 2</t>
        </is>
      </c>
      <c r="B15" s="4" t="inlineStr">
        <is>
          <t>KRT2</t>
        </is>
      </c>
      <c r="C15" s="4">
        <f>INDEX(Controles!$B$5:$B$9,MATCH(A15,Controles!$A$5:$A$9,0))</f>
        <v/>
      </c>
      <c r="D15" s="4">
        <f>COUNTIFS(Datos!$B$5:$B$94,$A15,Datos!$C$5:$C$94,$B15,Datos!$E$5:$E$94,1)</f>
        <v/>
      </c>
      <c r="E15" s="7">
        <f>AVERAGEIFS(Datos!$K$5:$K$94,Datos!$B$5:$B$94,$A15,Datos!$C$5:$C$94,$B15,Datos!$E$5:$E$94,1)</f>
        <v/>
      </c>
      <c r="F15" s="7">
        <f>IF(D15&gt;1,SQRT(MAX(0,(SUMIFS(Datos!$L$5:$L$94,Datos!$B$5:$B$94,$A15,Datos!$C$5:$C$94,$B15,Datos!$E$5:$E$94,1)-D15*E15^2)/(D15-1))),0)</f>
        <v/>
      </c>
      <c r="G15" s="4">
        <f>IF(D15&lt;3,"duplicado","")</f>
        <v/>
      </c>
      <c r="I15" s="4" t="inlineStr">
        <is>
          <t>KRT10</t>
        </is>
      </c>
      <c r="J15" s="7">
        <f>SUMIFS($F$4:$F$28,$A$4:$A$28,J12,$B$4:$B$28,$I15)</f>
        <v/>
      </c>
      <c r="K15" s="7">
        <f>SUMIFS($F$4:$F$28,$A$4:$A$28,K12,$B$4:$B$28,$I15)</f>
        <v/>
      </c>
      <c r="L15" s="7">
        <f>SUMIFS($F$4:$F$28,$A$4:$A$28,L12,$B$4:$B$28,$I15)</f>
        <v/>
      </c>
    </row>
    <row r="16">
      <c r="A16" s="4" t="inlineStr">
        <is>
          <t>KerCT 7 días MD2 2</t>
        </is>
      </c>
      <c r="B16" s="4" t="inlineStr">
        <is>
          <t>KRT10</t>
        </is>
      </c>
      <c r="C16" s="4">
        <f>INDEX(Controles!$B$5:$B$9,MATCH(A16,Controles!$A$5:$A$9,0))</f>
        <v/>
      </c>
      <c r="D16" s="4">
        <f>COUNTIFS(Datos!$B$5:$B$94,$A16,Datos!$C$5:$C$94,$B16,Datos!$E$5:$E$94,1)</f>
        <v/>
      </c>
      <c r="E16" s="7">
        <f>AVERAGEIFS(Datos!$K$5:$K$94,Datos!$B$5:$B$94,$A16,Datos!$C$5:$C$94,$B16,Datos!$E$5:$E$94,1)</f>
        <v/>
      </c>
      <c r="F16" s="7">
        <f>IF(D16&gt;1,SQRT(MAX(0,(SUMIFS(Datos!$L$5:$L$94,Datos!$B$5:$B$94,$A16,Datos!$C$5:$C$94,$B16,Datos!$E$5:$E$94,1)-D16*E16^2)/(D16-1))),0)</f>
        <v/>
      </c>
      <c r="G16" s="4">
        <f>IF(D16&lt;3,"duplicado","")</f>
        <v/>
      </c>
      <c r="I16" s="4" t="inlineStr">
        <is>
          <t>KRT14</t>
        </is>
      </c>
      <c r="J16" s="7">
        <f>SUMIFS($F$4:$F$28,$A$4:$A$28,J12,$B$4:$B$28,$I16)</f>
        <v/>
      </c>
      <c r="K16" s="7">
        <f>SUMIFS($F$4:$F$28,$A$4:$A$28,K12,$B$4:$B$28,$I16)</f>
        <v/>
      </c>
      <c r="L16" s="7">
        <f>SUMIFS($F$4:$F$28,$A$4:$A$28,L12,$B$4:$B$28,$I16)</f>
        <v/>
      </c>
    </row>
    <row r="17">
      <c r="A17" s="4" t="inlineStr">
        <is>
          <t>KerCT 7 días MD2 2</t>
        </is>
      </c>
      <c r="B17" s="4" t="inlineStr">
        <is>
          <t>KRT14</t>
        </is>
      </c>
      <c r="C17" s="4">
        <f>INDEX(Controles!$B$5:$B$9,MATCH(A17,Controles!$A$5:$A$9,0))</f>
        <v/>
      </c>
      <c r="D17" s="4">
        <f>COUNTIFS(Datos!$B$5:$B$94,$A17,Datos!$C$5:$C$94,$B17,Datos!$E$5:$E$94,1)</f>
        <v/>
      </c>
      <c r="E17" s="7">
        <f>AVERAGEIFS(Datos!$K$5:$K$94,Datos!$B$5:$B$94,$A17,Datos!$C$5:$C$94,$B17,Datos!$E$5:$E$94,1)</f>
        <v/>
      </c>
      <c r="F17" s="7">
        <f>IF(D17&gt;1,SQRT(MAX(0,(SUMIFS(Datos!$L$5:$L$94,Datos!$B$5:$B$94,$A17,Datos!$C$5:$C$94,$B17,Datos!$E$5:$E$94,1)-D17*E17^2)/(D17-1))),0)</f>
        <v/>
      </c>
      <c r="G17" s="4">
        <f>IF(D17&lt;3,"duplicado","")</f>
        <v/>
      </c>
      <c r="I17" s="4" t="inlineStr">
        <is>
          <t>IVL</t>
        </is>
      </c>
      <c r="J17" s="7">
        <f>SUMIFS($F$4:$F$28,$A$4:$A$28,J12,$B$4:$B$28,$I17)</f>
        <v/>
      </c>
      <c r="K17" s="7">
        <f>SUMIFS($F$4:$F$28,$A$4:$A$28,K12,$B$4:$B$28,$I17)</f>
        <v/>
      </c>
      <c r="L17" s="7">
        <f>SUMIFS($F$4:$F$28,$A$4:$A$28,L12,$B$4:$B$28,$I17)</f>
        <v/>
      </c>
    </row>
    <row r="18">
      <c r="A18" s="4" t="inlineStr">
        <is>
          <t>KerCT 7 días MD2 2</t>
        </is>
      </c>
      <c r="B18" s="4" t="inlineStr">
        <is>
          <t>IVL</t>
        </is>
      </c>
      <c r="C18" s="4">
        <f>INDEX(Controles!$B$5:$B$9,MATCH(A18,Controles!$A$5:$A$9,0))</f>
        <v/>
      </c>
      <c r="D18" s="4">
        <f>COUNTIFS(Datos!$B$5:$B$94,$A18,Datos!$C$5:$C$94,$B18,Datos!$E$5:$E$94,1)</f>
        <v/>
      </c>
      <c r="E18" s="7">
        <f>AVERAGEIFS(Datos!$K$5:$K$94,Datos!$B$5:$B$94,$A18,Datos!$C$5:$C$94,$B18,Datos!$E$5:$E$94,1)</f>
        <v/>
      </c>
      <c r="F18" s="7">
        <f>IF(D18&gt;1,SQRT(MAX(0,(SUMIFS(Datos!$L$5:$L$94,Datos!$B$5:$B$94,$A18,Datos!$C$5:$C$94,$B18,Datos!$E$5:$E$94,1)-D18*E18^2)/(D18-1))),0)</f>
        <v/>
      </c>
      <c r="G18" s="4">
        <f>IF(D18&lt;3,"duplicado","")</f>
        <v/>
      </c>
    </row>
    <row r="19">
      <c r="A19" s="4" t="inlineStr">
        <is>
          <t>KerCT 0 días MD3</t>
        </is>
      </c>
      <c r="B19" s="4" t="inlineStr">
        <is>
          <t>KRT1</t>
        </is>
      </c>
      <c r="C19" s="4">
        <f>INDEX(Controles!$B$5:$B$9,MATCH(A19,Controles!$A$5:$A$9,0))</f>
        <v/>
      </c>
      <c r="D19" s="4">
        <f>COUNTIFS(Datos!$B$5:$B$94,$A19,Datos!$C$5:$C$94,$B19,Datos!$E$5:$E$94,1)</f>
        <v/>
      </c>
      <c r="E19" s="7">
        <f>AVERAGEIFS(Datos!$K$5:$K$94,Datos!$B$5:$B$94,$A19,Datos!$C$5:$C$94,$B19,Datos!$E$5:$E$94,1)</f>
        <v/>
      </c>
      <c r="F19" s="7">
        <f>IF(D19&gt;1,SQRT(MAX(0,(SUMIFS(Datos!$L$5:$L$94,Datos!$B$5:$B$94,$A19,Datos!$C$5:$C$94,$B19,Datos!$E$5:$E$94,1)-D19*E19^2)/(D19-1))),0)</f>
        <v/>
      </c>
      <c r="G19" s="4">
        <f>IF(D19&lt;3,"duplicado","")</f>
        <v/>
      </c>
    </row>
    <row r="20">
      <c r="A20" s="4" t="inlineStr">
        <is>
          <t>KerCT 0 días MD3</t>
        </is>
      </c>
      <c r="B20" s="4" t="inlineStr">
        <is>
          <t>KRT2</t>
        </is>
      </c>
      <c r="C20" s="4">
        <f>INDEX(Controles!$B$5:$B$9,MATCH(A20,Controles!$A$5:$A$9,0))</f>
        <v/>
      </c>
      <c r="D20" s="4">
        <f>COUNTIFS(Datos!$B$5:$B$94,$A20,Datos!$C$5:$C$94,$B20,Datos!$E$5:$E$94,1)</f>
        <v/>
      </c>
      <c r="E20" s="7">
        <f>AVERAGEIFS(Datos!$K$5:$K$94,Datos!$B$5:$B$94,$A20,Datos!$C$5:$C$94,$B20,Datos!$E$5:$E$94,1)</f>
        <v/>
      </c>
      <c r="F20" s="7">
        <f>IF(D20&gt;1,SQRT(MAX(0,(SUMIFS(Datos!$L$5:$L$94,Datos!$B$5:$B$94,$A20,Datos!$C$5:$C$94,$B20,Datos!$E$5:$E$94,1)-D20*E20^2)/(D20-1))),0)</f>
        <v/>
      </c>
      <c r="G20" s="4">
        <f>IF(D20&lt;3,"duplicado","")</f>
        <v/>
      </c>
      <c r="I20" s="14" t="inlineStr">
        <is>
          <t>MD3 – RQ media</t>
        </is>
      </c>
    </row>
    <row r="21">
      <c r="A21" s="4" t="inlineStr">
        <is>
          <t>KerCT 0 días MD3</t>
        </is>
      </c>
      <c r="B21" s="4" t="inlineStr">
        <is>
          <t>KRT10</t>
        </is>
      </c>
      <c r="C21" s="4">
        <f>INDEX(Controles!$B$5:$B$9,MATCH(A21,Controles!$A$5:$A$9,0))</f>
        <v/>
      </c>
      <c r="D21" s="4">
        <f>COUNTIFS(Datos!$B$5:$B$94,$A21,Datos!$C$5:$C$94,$B21,Datos!$E$5:$E$94,1)</f>
        <v/>
      </c>
      <c r="E21" s="7">
        <f>AVERAGEIFS(Datos!$K$5:$K$94,Datos!$B$5:$B$94,$A21,Datos!$C$5:$C$94,$B21,Datos!$E$5:$E$94,1)</f>
        <v/>
      </c>
      <c r="F21" s="7">
        <f>IF(D21&gt;1,SQRT(MAX(0,(SUMIFS(Datos!$L$5:$L$94,Datos!$B$5:$B$94,$A21,Datos!$C$5:$C$94,$B21,Datos!$E$5:$E$94,1)-D21*E21^2)/(D21-1))),0)</f>
        <v/>
      </c>
      <c r="G21" s="4">
        <f>IF(D21&lt;3,"duplicado","")</f>
        <v/>
      </c>
      <c r="I21" s="3" t="inlineStr">
        <is>
          <t>Gen</t>
        </is>
      </c>
      <c r="J21" s="3" t="inlineStr">
        <is>
          <t>KerCT 0 días MD3</t>
        </is>
      </c>
      <c r="K21" s="3" t="inlineStr">
        <is>
          <t>KerCT 7 días MD3</t>
        </is>
      </c>
    </row>
    <row r="22">
      <c r="A22" s="4" t="inlineStr">
        <is>
          <t>KerCT 0 días MD3</t>
        </is>
      </c>
      <c r="B22" s="4" t="inlineStr">
        <is>
          <t>KRT14</t>
        </is>
      </c>
      <c r="C22" s="4">
        <f>INDEX(Controles!$B$5:$B$9,MATCH(A22,Controles!$A$5:$A$9,0))</f>
        <v/>
      </c>
      <c r="D22" s="4">
        <f>COUNTIFS(Datos!$B$5:$B$94,$A22,Datos!$C$5:$C$94,$B22,Datos!$E$5:$E$94,1)</f>
        <v/>
      </c>
      <c r="E22" s="7">
        <f>AVERAGEIFS(Datos!$K$5:$K$94,Datos!$B$5:$B$94,$A22,Datos!$C$5:$C$94,$B22,Datos!$E$5:$E$94,1)</f>
        <v/>
      </c>
      <c r="F22" s="7">
        <f>IF(D22&gt;1,SQRT(MAX(0,(SUMIFS(Datos!$L$5:$L$94,Datos!$B$5:$B$94,$A22,Datos!$C$5:$C$94,$B22,Datos!$E$5:$E$94,1)-D22*E22^2)/(D22-1))),0)</f>
        <v/>
      </c>
      <c r="G22" s="4">
        <f>IF(D22&lt;3,"duplicado","")</f>
        <v/>
      </c>
      <c r="I22" s="4" t="inlineStr">
        <is>
          <t>KRT1</t>
        </is>
      </c>
      <c r="J22" s="7">
        <f>SUMIFS($E$4:$E$28,$A$4:$A$28,J21,$B$4:$B$28,$I22)</f>
        <v/>
      </c>
      <c r="K22" s="7">
        <f>SUMIFS($E$4:$E$28,$A$4:$A$28,K21,$B$4:$B$28,$I22)</f>
        <v/>
      </c>
    </row>
    <row r="23">
      <c r="A23" s="4" t="inlineStr">
        <is>
          <t>KerCT 0 días MD3</t>
        </is>
      </c>
      <c r="B23" s="4" t="inlineStr">
        <is>
          <t>IVL</t>
        </is>
      </c>
      <c r="C23" s="4">
        <f>INDEX(Controles!$B$5:$B$9,MATCH(A23,Controles!$A$5:$A$9,0))</f>
        <v/>
      </c>
      <c r="D23" s="4">
        <f>COUNTIFS(Datos!$B$5:$B$94,$A23,Datos!$C$5:$C$94,$B23,Datos!$E$5:$E$94,1)</f>
        <v/>
      </c>
      <c r="E23" s="7">
        <f>AVERAGEIFS(Datos!$K$5:$K$94,Datos!$B$5:$B$94,$A23,Datos!$C$5:$C$94,$B23,Datos!$E$5:$E$94,1)</f>
        <v/>
      </c>
      <c r="F23" s="7">
        <f>IF(D23&gt;1,SQRT(MAX(0,(SUMIFS(Datos!$L$5:$L$94,Datos!$B$5:$B$94,$A23,Datos!$C$5:$C$94,$B23,Datos!$E$5:$E$94,1)-D23*E23^2)/(D23-1))),0)</f>
        <v/>
      </c>
      <c r="G23" s="4">
        <f>IF(D23&lt;3,"duplicado","")</f>
        <v/>
      </c>
      <c r="I23" s="4" t="inlineStr">
        <is>
          <t>KRT2</t>
        </is>
      </c>
      <c r="J23" s="7">
        <f>SUMIFS($E$4:$E$28,$A$4:$A$28,J21,$B$4:$B$28,$I23)</f>
        <v/>
      </c>
      <c r="K23" s="7">
        <f>SUMIFS($E$4:$E$28,$A$4:$A$28,K21,$B$4:$B$28,$I23)</f>
        <v/>
      </c>
    </row>
    <row r="24">
      <c r="A24" s="4" t="inlineStr">
        <is>
          <t>KerCT 7 días MD3</t>
        </is>
      </c>
      <c r="B24" s="4" t="inlineStr">
        <is>
          <t>KRT1</t>
        </is>
      </c>
      <c r="C24" s="4">
        <f>INDEX(Controles!$B$5:$B$9,MATCH(A24,Controles!$A$5:$A$9,0))</f>
        <v/>
      </c>
      <c r="D24" s="4">
        <f>COUNTIFS(Datos!$B$5:$B$94,$A24,Datos!$C$5:$C$94,$B24,Datos!$E$5:$E$94,1)</f>
        <v/>
      </c>
      <c r="E24" s="7">
        <f>AVERAGEIFS(Datos!$K$5:$K$94,Datos!$B$5:$B$94,$A24,Datos!$C$5:$C$94,$B24,Datos!$E$5:$E$94,1)</f>
        <v/>
      </c>
      <c r="F24" s="7">
        <f>IF(D24&gt;1,SQRT(MAX(0,(SUMIFS(Datos!$L$5:$L$94,Datos!$B$5:$B$94,$A24,Datos!$C$5:$C$94,$B24,Datos!$E$5:$E$94,1)-D24*E24^2)/(D24-1))),0)</f>
        <v/>
      </c>
      <c r="G24" s="4">
        <f>IF(D24&lt;3,"duplicado","")</f>
        <v/>
      </c>
      <c r="I24" s="4" t="inlineStr">
        <is>
          <t>KRT10</t>
        </is>
      </c>
      <c r="J24" s="7">
        <f>SUMIFS($E$4:$E$28,$A$4:$A$28,J21,$B$4:$B$28,$I24)</f>
        <v/>
      </c>
      <c r="K24" s="7">
        <f>SUMIFS($E$4:$E$28,$A$4:$A$28,K21,$B$4:$B$28,$I24)</f>
        <v/>
      </c>
    </row>
    <row r="25">
      <c r="A25" s="4" t="inlineStr">
        <is>
          <t>KerCT 7 días MD3</t>
        </is>
      </c>
      <c r="B25" s="4" t="inlineStr">
        <is>
          <t>KRT2</t>
        </is>
      </c>
      <c r="C25" s="4">
        <f>INDEX(Controles!$B$5:$B$9,MATCH(A25,Controles!$A$5:$A$9,0))</f>
        <v/>
      </c>
      <c r="D25" s="4">
        <f>COUNTIFS(Datos!$B$5:$B$94,$A25,Datos!$C$5:$C$94,$B25,Datos!$E$5:$E$94,1)</f>
        <v/>
      </c>
      <c r="E25" s="7">
        <f>AVERAGEIFS(Datos!$K$5:$K$94,Datos!$B$5:$B$94,$A25,Datos!$C$5:$C$94,$B25,Datos!$E$5:$E$94,1)</f>
        <v/>
      </c>
      <c r="F25" s="7">
        <f>IF(D25&gt;1,SQRT(MAX(0,(SUMIFS(Datos!$L$5:$L$94,Datos!$B$5:$B$94,$A25,Datos!$C$5:$C$94,$B25,Datos!$E$5:$E$94,1)-D25*E25^2)/(D25-1))),0)</f>
        <v/>
      </c>
      <c r="G25" s="4">
        <f>IF(D25&lt;3,"duplicado","")</f>
        <v/>
      </c>
      <c r="I25" s="4" t="inlineStr">
        <is>
          <t>KRT14</t>
        </is>
      </c>
      <c r="J25" s="7">
        <f>SUMIFS($E$4:$E$28,$A$4:$A$28,J21,$B$4:$B$28,$I25)</f>
        <v/>
      </c>
      <c r="K25" s="7">
        <f>SUMIFS($E$4:$E$28,$A$4:$A$28,K21,$B$4:$B$28,$I25)</f>
        <v/>
      </c>
    </row>
    <row r="26">
      <c r="A26" s="4" t="inlineStr">
        <is>
          <t>KerCT 7 días MD3</t>
        </is>
      </c>
      <c r="B26" s="4" t="inlineStr">
        <is>
          <t>KRT10</t>
        </is>
      </c>
      <c r="C26" s="4">
        <f>INDEX(Controles!$B$5:$B$9,MATCH(A26,Controles!$A$5:$A$9,0))</f>
        <v/>
      </c>
      <c r="D26" s="4">
        <f>COUNTIFS(Datos!$B$5:$B$94,$A26,Datos!$C$5:$C$94,$B26,Datos!$E$5:$E$94,1)</f>
        <v/>
      </c>
      <c r="E26" s="7">
        <f>AVERAGEIFS(Datos!$K$5:$K$94,Datos!$B$5:$B$94,$A26,Datos!$C$5:$C$94,$B26,Datos!$E$5:$E$94,1)</f>
        <v/>
      </c>
      <c r="F26" s="7">
        <f>IF(D26&gt;1,SQRT(MAX(0,(SUMIFS(Datos!$L$5:$L$94,Datos!$B$5:$B$94,$A26,Datos!$C$5:$C$94,$B26,Datos!$E$5:$E$94,1)-D26*E26^2)/(D26-1))),0)</f>
        <v/>
      </c>
      <c r="G26" s="4">
        <f>IF(D26&lt;3,"duplicado","")</f>
        <v/>
      </c>
      <c r="I26" s="4" t="inlineStr">
        <is>
          <t>IVL</t>
        </is>
      </c>
      <c r="J26" s="7">
        <f>SUMIFS($E$4:$E$28,$A$4:$A$28,J21,$B$4:$B$28,$I26)</f>
        <v/>
      </c>
      <c r="K26" s="7">
        <f>SUMIFS($E$4:$E$28,$A$4:$A$28,K21,$B$4:$B$28,$I26)</f>
        <v/>
      </c>
    </row>
    <row r="27">
      <c r="A27" s="4" t="inlineStr">
        <is>
          <t>KerCT 7 días MD3</t>
        </is>
      </c>
      <c r="B27" s="4" t="inlineStr">
        <is>
          <t>KRT14</t>
        </is>
      </c>
      <c r="C27" s="4">
        <f>INDEX(Controles!$B$5:$B$9,MATCH(A27,Controles!$A$5:$A$9,0))</f>
        <v/>
      </c>
      <c r="D27" s="4">
        <f>COUNTIFS(Datos!$B$5:$B$94,$A27,Datos!$C$5:$C$94,$B27,Datos!$E$5:$E$94,1)</f>
        <v/>
      </c>
      <c r="E27" s="7">
        <f>AVERAGEIFS(Datos!$K$5:$K$94,Datos!$B$5:$B$94,$A27,Datos!$C$5:$C$94,$B27,Datos!$E$5:$E$94,1)</f>
        <v/>
      </c>
      <c r="F27" s="7">
        <f>IF(D27&gt;1,SQRT(MAX(0,(SUMIFS(Datos!$L$5:$L$94,Datos!$B$5:$B$94,$A27,Datos!$C$5:$C$94,$B27,Datos!$E$5:$E$94,1)-D27*E27^2)/(D27-1))),0)</f>
        <v/>
      </c>
      <c r="G27" s="4">
        <f>IF(D27&lt;3,"duplicado","")</f>
        <v/>
      </c>
    </row>
    <row r="28">
      <c r="A28" s="4" t="inlineStr">
        <is>
          <t>KerCT 7 días MD3</t>
        </is>
      </c>
      <c r="B28" s="4" t="inlineStr">
        <is>
          <t>IVL</t>
        </is>
      </c>
      <c r="C28" s="4">
        <f>INDEX(Controles!$B$5:$B$9,MATCH(A28,Controles!$A$5:$A$9,0))</f>
        <v/>
      </c>
      <c r="D28" s="4">
        <f>COUNTIFS(Datos!$B$5:$B$94,$A28,Datos!$C$5:$C$94,$B28,Datos!$E$5:$E$94,1)</f>
        <v/>
      </c>
      <c r="E28" s="7">
        <f>AVERAGEIFS(Datos!$K$5:$K$94,Datos!$B$5:$B$94,$A28,Datos!$C$5:$C$94,$B28,Datos!$E$5:$E$94,1)</f>
        <v/>
      </c>
      <c r="F28" s="7">
        <f>IF(D28&gt;1,SQRT(MAX(0,(SUMIFS(Datos!$L$5:$L$94,Datos!$B$5:$B$94,$A28,Datos!$C$5:$C$94,$B28,Datos!$E$5:$E$94,1)-D28*E28^2)/(D28-1))),0)</f>
        <v/>
      </c>
      <c r="G28" s="4">
        <f>IF(D28&lt;3,"duplicado","")</f>
        <v/>
      </c>
      <c r="I28" s="14" t="inlineStr">
        <is>
          <t>MD3 – SD</t>
        </is>
      </c>
    </row>
    <row r="29">
      <c r="I29" s="3" t="inlineStr">
        <is>
          <t>Gen</t>
        </is>
      </c>
      <c r="J29" s="3" t="inlineStr">
        <is>
          <t>KerCT 0 días MD3</t>
        </is>
      </c>
      <c r="K29" s="3" t="inlineStr">
        <is>
          <t>KerCT 7 días MD3</t>
        </is>
      </c>
    </row>
    <row r="30">
      <c r="I30" s="4" t="inlineStr">
        <is>
          <t>KRT1</t>
        </is>
      </c>
      <c r="J30" s="7">
        <f>SUMIFS($F$4:$F$28,$A$4:$A$28,J29,$B$4:$B$28,$I30)</f>
        <v/>
      </c>
      <c r="K30" s="7">
        <f>SUMIFS($F$4:$F$28,$A$4:$A$28,K29,$B$4:$B$28,$I30)</f>
        <v/>
      </c>
    </row>
    <row r="31">
      <c r="I31" s="4" t="inlineStr">
        <is>
          <t>KRT2</t>
        </is>
      </c>
      <c r="J31" s="7">
        <f>SUMIFS($F$4:$F$28,$A$4:$A$28,J29,$B$4:$B$28,$I31)</f>
        <v/>
      </c>
      <c r="K31" s="7">
        <f>SUMIFS($F$4:$F$28,$A$4:$A$28,K29,$B$4:$B$28,$I31)</f>
        <v/>
      </c>
    </row>
    <row r="32">
      <c r="I32" s="4" t="inlineStr">
        <is>
          <t>KRT10</t>
        </is>
      </c>
      <c r="J32" s="7">
        <f>SUMIFS($F$4:$F$28,$A$4:$A$28,J29,$B$4:$B$28,$I32)</f>
        <v/>
      </c>
      <c r="K32" s="7">
        <f>SUMIFS($F$4:$F$28,$A$4:$A$28,K29,$B$4:$B$28,$I32)</f>
        <v/>
      </c>
    </row>
    <row r="33">
      <c r="I33" s="4" t="inlineStr">
        <is>
          <t>KRT14</t>
        </is>
      </c>
      <c r="J33" s="7">
        <f>SUMIFS($F$4:$F$28,$A$4:$A$28,J29,$B$4:$B$28,$I33)</f>
        <v/>
      </c>
      <c r="K33" s="7">
        <f>SUMIFS($F$4:$F$28,$A$4:$A$28,K29,$B$4:$B$28,$I33)</f>
        <v/>
      </c>
    </row>
    <row r="34">
      <c r="I34" s="4" t="inlineStr">
        <is>
          <t>IVL</t>
        </is>
      </c>
      <c r="J34" s="7">
        <f>SUMIFS($F$4:$F$28,$A$4:$A$28,J29,$B$4:$B$28,$I34)</f>
        <v/>
      </c>
      <c r="K34" s="7">
        <f>SUMIFS($F$4:$F$28,$A$4:$A$28,K29,$B$4:$B$28,$I34)</f>
        <v/>
      </c>
    </row>
    <row r="37">
      <c r="I37" s="14" t="inlineStr">
        <is>
          <t>MD2 7d – réplicas biológicas (MD2 1 y MD2 2): media y SD entre las dos</t>
        </is>
      </c>
    </row>
    <row r="38" ht="45" customHeight="1">
      <c r="I38" s="3" t="inlineStr">
        <is>
          <t>Gen</t>
        </is>
      </c>
      <c r="J38" s="3" t="inlineStr">
        <is>
          <t>Control 0d MD2</t>
        </is>
      </c>
      <c r="K38" s="3" t="inlineStr">
        <is>
          <t>7d MD2 (media MD2 1 y 2)</t>
        </is>
      </c>
      <c r="L38" s="3" t="inlineStr">
        <is>
          <t>SD control</t>
        </is>
      </c>
      <c r="M38" s="3" t="inlineStr">
        <is>
          <t>SD entre réplicas (n=2)</t>
        </is>
      </c>
    </row>
    <row r="39">
      <c r="I39" s="4" t="inlineStr">
        <is>
          <t>KRT1</t>
        </is>
      </c>
      <c r="J39" s="7">
        <f>J5</f>
        <v/>
      </c>
      <c r="K39" s="7">
        <f>AVERAGE(K5,L5)</f>
        <v/>
      </c>
      <c r="L39" s="7" t="n">
        <v>0</v>
      </c>
      <c r="M39" s="7">
        <f>STDEV(K5,L5)</f>
        <v/>
      </c>
    </row>
    <row r="40">
      <c r="I40" s="4" t="inlineStr">
        <is>
          <t>KRT2</t>
        </is>
      </c>
      <c r="J40" s="7">
        <f>J6</f>
        <v/>
      </c>
      <c r="K40" s="7">
        <f>AVERAGE(K6,L6)</f>
        <v/>
      </c>
      <c r="L40" s="7" t="n">
        <v>0</v>
      </c>
      <c r="M40" s="7">
        <f>STDEV(K6,L6)</f>
        <v/>
      </c>
    </row>
    <row r="41">
      <c r="I41" s="4" t="inlineStr">
        <is>
          <t>KRT10</t>
        </is>
      </c>
      <c r="J41" s="7">
        <f>J7</f>
        <v/>
      </c>
      <c r="K41" s="7">
        <f>AVERAGE(K7,L7)</f>
        <v/>
      </c>
      <c r="L41" s="7" t="n">
        <v>0</v>
      </c>
      <c r="M41" s="7">
        <f>STDEV(K7,L7)</f>
        <v/>
      </c>
    </row>
    <row r="42">
      <c r="I42" s="4" t="inlineStr">
        <is>
          <t>KRT14</t>
        </is>
      </c>
      <c r="J42" s="7">
        <f>J8</f>
        <v/>
      </c>
      <c r="K42" s="7">
        <f>AVERAGE(K8,L8)</f>
        <v/>
      </c>
      <c r="L42" s="7" t="n">
        <v>0</v>
      </c>
      <c r="M42" s="7">
        <f>STDEV(K8,L8)</f>
        <v/>
      </c>
    </row>
    <row r="43">
      <c r="I43" s="4" t="inlineStr">
        <is>
          <t>IVL</t>
        </is>
      </c>
      <c r="J43" s="7">
        <f>J9</f>
        <v/>
      </c>
      <c r="K43" s="7">
        <f>AVERAGE(K9,L9)</f>
        <v/>
      </c>
      <c r="L43" s="7" t="n">
        <v>0</v>
      </c>
      <c r="M43" s="7">
        <f>STDEV(K9,L9)</f>
        <v/>
      </c>
    </row>
    <row r="45">
      <c r="I45" s="2" t="inlineStr">
        <is>
          <t>El control (RQ=1 por definición) va sin barra de error. SD entre réplicas con n=2.</t>
        </is>
      </c>
    </row>
    <row r="48">
      <c r="I48" s="14" t="inlineStr">
        <is>
          <t>MD2 (media de 1 y 2) vs MD3 a 7 días, cada uno relativo a su control 0d (RQ=1)</t>
        </is>
      </c>
    </row>
    <row r="49" ht="60" customHeight="1">
      <c r="I49" s="3" t="inlineStr">
        <is>
          <t>Gen</t>
        </is>
      </c>
      <c r="J49" s="3" t="inlineStr">
        <is>
          <t>7d MD2 (media réplicas)</t>
        </is>
      </c>
      <c r="K49" s="3" t="inlineStr">
        <is>
          <t>7d MD3</t>
        </is>
      </c>
      <c r="L49" s="3" t="inlineStr">
        <is>
          <t>SD MD2 (entre réplicas, n=2)</t>
        </is>
      </c>
      <c r="M49" s="3" t="inlineStr">
        <is>
          <t>SD MD3 (entre pocillos, n=1 biológica)</t>
        </is>
      </c>
    </row>
    <row r="50">
      <c r="I50" s="4" t="inlineStr">
        <is>
          <t>KRT1</t>
        </is>
      </c>
      <c r="J50" s="7">
        <f>K39</f>
        <v/>
      </c>
      <c r="K50" s="7">
        <f>K22</f>
        <v/>
      </c>
      <c r="L50" s="7">
        <f>M39</f>
        <v/>
      </c>
      <c r="M50" s="7">
        <f>K30</f>
        <v/>
      </c>
    </row>
    <row r="51">
      <c r="I51" s="4" t="inlineStr">
        <is>
          <t>KRT2</t>
        </is>
      </c>
      <c r="J51" s="7">
        <f>K40</f>
        <v/>
      </c>
      <c r="K51" s="7">
        <f>K23</f>
        <v/>
      </c>
      <c r="L51" s="7">
        <f>M40</f>
        <v/>
      </c>
      <c r="M51" s="7">
        <f>K31</f>
        <v/>
      </c>
    </row>
    <row r="52">
      <c r="I52" s="4" t="inlineStr">
        <is>
          <t>KRT10</t>
        </is>
      </c>
      <c r="J52" s="7">
        <f>K41</f>
        <v/>
      </c>
      <c r="K52" s="7">
        <f>K24</f>
        <v/>
      </c>
      <c r="L52" s="7">
        <f>M41</f>
        <v/>
      </c>
      <c r="M52" s="7">
        <f>K32</f>
        <v/>
      </c>
    </row>
    <row r="53">
      <c r="I53" s="4" t="inlineStr">
        <is>
          <t>KRT14</t>
        </is>
      </c>
      <c r="J53" s="7">
        <f>K42</f>
        <v/>
      </c>
      <c r="K53" s="7">
        <f>K25</f>
        <v/>
      </c>
      <c r="L53" s="7">
        <f>M42</f>
        <v/>
      </c>
      <c r="M53" s="7">
        <f>K33</f>
        <v/>
      </c>
    </row>
    <row r="54">
      <c r="I54" s="4" t="inlineStr">
        <is>
          <t>IVL</t>
        </is>
      </c>
      <c r="J54" s="7">
        <f>K43</f>
        <v/>
      </c>
      <c r="K54" s="7">
        <f>K26</f>
        <v/>
      </c>
      <c r="L54" s="7">
        <f>M43</f>
        <v/>
      </c>
      <c r="M54" s="7">
        <f>K34</f>
        <v/>
      </c>
    </row>
    <row r="56">
      <c r="I56" s="2" t="inlineStr">
        <is>
          <t>MD3 es una sola muestra: su barra de error refleja solo variación técnica entre pocillos, no biológica.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 media ± SD (eje logarítmico). La línea de RQ=1 es la muestra control.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1" t="inlineStr">
        <is>
          <t>Medio 3D (Prism, 2026-07-16): RQ relativo al día 0 de ese medio</t>
        </is>
      </c>
    </row>
    <row r="2" ht="48" customHeight="1">
      <c r="A2" s="15" t="inlineStr">
        <is>
          <t>Datos copiados del .prism (hojas "rep 1" y "rep2", azul = dato). Cada gen tiene 2 columnas por hoja. Supuesto: rep1 y rep2 son réplicas biológicas; dentro de cada una combino sus 2 columnas con media geométrica. Ojo: columna 1 es idéntica en rep1 y rep2, y las dos columnas difieren hasta 370 veces.</t>
        </is>
      </c>
    </row>
    <row r="4" ht="32" customHeight="1">
      <c r="A4" s="3" t="inlineStr">
        <is>
          <t>Gen</t>
        </is>
      </c>
      <c r="B4" s="3" t="inlineStr">
        <is>
          <t>Día</t>
        </is>
      </c>
      <c r="C4" s="3" t="inlineStr">
        <is>
          <t>rep1 col 1</t>
        </is>
      </c>
      <c r="D4" s="3" t="inlineStr">
        <is>
          <t>rep1 col 2</t>
        </is>
      </c>
      <c r="E4" s="3" t="inlineStr">
        <is>
          <t>rep2 col 1</t>
        </is>
      </c>
      <c r="F4" s="3" t="inlineStr">
        <is>
          <t>rep2 col 2</t>
        </is>
      </c>
      <c r="G4" s="3" t="inlineStr">
        <is>
          <t>rep1 (media geom.)</t>
        </is>
      </c>
      <c r="H4" s="3" t="inlineStr">
        <is>
          <t>rep2 (media geom.)</t>
        </is>
      </c>
      <c r="I4" s="3" t="inlineStr">
        <is>
          <t>Media rep1-2</t>
        </is>
      </c>
      <c r="J4" s="3" t="inlineStr">
        <is>
          <t>SD entre rep1-2</t>
        </is>
      </c>
    </row>
    <row r="5">
      <c r="A5" s="4" t="inlineStr">
        <is>
          <t>KRT1</t>
        </is>
      </c>
      <c r="B5" s="4" t="n">
        <v>0</v>
      </c>
      <c r="C5" s="16" t="n">
        <v>1</v>
      </c>
      <c r="D5" s="16" t="n">
        <v>1</v>
      </c>
      <c r="E5" s="16" t="n">
        <v>1</v>
      </c>
      <c r="F5" s="16" t="n">
        <v>1</v>
      </c>
      <c r="G5" s="7">
        <f>GEOMEAN(C5,D5)</f>
        <v/>
      </c>
      <c r="H5" s="7">
        <f>GEOMEAN(E5,F5)</f>
        <v/>
      </c>
      <c r="I5" s="7">
        <f>AVERAGE(G5,H5)</f>
        <v/>
      </c>
      <c r="J5" s="7">
        <f>STDEV(G5,H5)</f>
        <v/>
      </c>
    </row>
    <row r="6">
      <c r="A6" s="4" t="inlineStr">
        <is>
          <t>KRT1</t>
        </is>
      </c>
      <c r="B6" s="4" t="n">
        <v>7</v>
      </c>
      <c r="C6" s="16" t="n">
        <v>518.4563801</v>
      </c>
      <c r="D6" s="16" t="n">
        <v>1.38002677</v>
      </c>
      <c r="E6" s="16" t="n">
        <v>518.4563801</v>
      </c>
      <c r="F6" s="16" t="n">
        <v>63.3855219</v>
      </c>
      <c r="G6" s="7">
        <f>GEOMEAN(C6,D6)</f>
        <v/>
      </c>
      <c r="H6" s="7">
        <f>GEOMEAN(E6,F6)</f>
        <v/>
      </c>
      <c r="I6" s="7">
        <f>AVERAGE(G6,H6)</f>
        <v/>
      </c>
      <c r="J6" s="7">
        <f>STDEV(G6,H6)</f>
        <v/>
      </c>
    </row>
    <row r="7">
      <c r="A7" s="4" t="inlineStr">
        <is>
          <t>KRT1</t>
        </is>
      </c>
      <c r="B7" s="4" t="n">
        <v>14</v>
      </c>
      <c r="C7" s="16" t="n">
        <v>183.2161221</v>
      </c>
      <c r="D7" s="16" t="n">
        <v>1639.91921</v>
      </c>
      <c r="E7" s="16" t="n">
        <v>183.2161221</v>
      </c>
      <c r="F7" s="16" t="n">
        <v>10186.2327</v>
      </c>
      <c r="G7" s="7">
        <f>GEOMEAN(C7,D7)</f>
        <v/>
      </c>
      <c r="H7" s="7">
        <f>GEOMEAN(E7,F7)</f>
        <v/>
      </c>
      <c r="I7" s="7">
        <f>AVERAGE(G7,H7)</f>
        <v/>
      </c>
      <c r="J7" s="7">
        <f>STDEV(G7,H7)</f>
        <v/>
      </c>
    </row>
    <row r="8">
      <c r="A8" s="4" t="inlineStr">
        <is>
          <t>KRT1</t>
        </is>
      </c>
      <c r="B8" s="4" t="n">
        <v>20</v>
      </c>
      <c r="C8" s="16" t="n">
        <v>1.204569648</v>
      </c>
      <c r="D8" s="16" t="n">
        <v>74.9980936</v>
      </c>
      <c r="E8" s="16" t="n">
        <v>1.204569648</v>
      </c>
      <c r="F8" s="16" t="n">
        <v>506.779904</v>
      </c>
      <c r="G8" s="7">
        <f>GEOMEAN(C8,D8)</f>
        <v/>
      </c>
      <c r="H8" s="7">
        <f>GEOMEAN(E8,F8)</f>
        <v/>
      </c>
      <c r="I8" s="7">
        <f>AVERAGE(G8,H8)</f>
        <v/>
      </c>
      <c r="J8" s="7">
        <f>STDEV(G8,H8)</f>
        <v/>
      </c>
    </row>
    <row r="9">
      <c r="A9" s="4" t="inlineStr">
        <is>
          <t>KRT10</t>
        </is>
      </c>
      <c r="B9" s="4" t="n">
        <v>0</v>
      </c>
      <c r="C9" s="16" t="n">
        <v>1</v>
      </c>
      <c r="D9" s="16" t="n">
        <v>1</v>
      </c>
      <c r="E9" s="16" t="n">
        <v>1</v>
      </c>
      <c r="F9" s="16" t="n">
        <v>1</v>
      </c>
      <c r="G9" s="7">
        <f>GEOMEAN(C9,D9)</f>
        <v/>
      </c>
      <c r="H9" s="7">
        <f>GEOMEAN(E9,F9)</f>
        <v/>
      </c>
      <c r="I9" s="7">
        <f>AVERAGE(G9,H9)</f>
        <v/>
      </c>
      <c r="J9" s="7">
        <f>STDEV(G9,H9)</f>
        <v/>
      </c>
    </row>
    <row r="10">
      <c r="A10" s="4" t="inlineStr">
        <is>
          <t>KRT10</t>
        </is>
      </c>
      <c r="B10" s="4" t="n">
        <v>7</v>
      </c>
      <c r="C10" s="16" t="n">
        <v>1434.067349</v>
      </c>
      <c r="D10" s="16" t="n">
        <v>3.56250986</v>
      </c>
      <c r="E10" s="16" t="n">
        <v>1434.067349</v>
      </c>
      <c r="F10" s="16" t="n">
        <v>214.892715</v>
      </c>
      <c r="G10" s="7">
        <f>GEOMEAN(C10,D10)</f>
        <v/>
      </c>
      <c r="H10" s="7">
        <f>GEOMEAN(E10,F10)</f>
        <v/>
      </c>
      <c r="I10" s="7">
        <f>AVERAGE(G10,H10)</f>
        <v/>
      </c>
      <c r="J10" s="7">
        <f>STDEV(G10,H10)</f>
        <v/>
      </c>
    </row>
    <row r="11">
      <c r="A11" s="4" t="inlineStr">
        <is>
          <t>KRT10</t>
        </is>
      </c>
      <c r="B11" s="4" t="n">
        <v>14</v>
      </c>
      <c r="C11" s="16" t="n">
        <v>2341.280147</v>
      </c>
      <c r="D11" s="16" t="n">
        <v>273.190712</v>
      </c>
      <c r="E11" s="16" t="n">
        <v>2341.280147</v>
      </c>
      <c r="F11" s="16" t="n">
        <v>1972.33672</v>
      </c>
      <c r="G11" s="7">
        <f>GEOMEAN(C11,D11)</f>
        <v/>
      </c>
      <c r="H11" s="7">
        <f>GEOMEAN(E11,F11)</f>
        <v/>
      </c>
      <c r="I11" s="7">
        <f>AVERAGE(G11,H11)</f>
        <v/>
      </c>
      <c r="J11" s="7">
        <f>STDEV(G11,H11)</f>
        <v/>
      </c>
    </row>
    <row r="12">
      <c r="A12" s="4" t="inlineStr">
        <is>
          <t>KRT10</t>
        </is>
      </c>
      <c r="B12" s="4" t="n">
        <v>20</v>
      </c>
      <c r="C12" s="16" t="n">
        <v>5.693594117</v>
      </c>
      <c r="D12" s="16" t="n">
        <v>18.2823582</v>
      </c>
      <c r="E12" s="16" t="n">
        <v>5.693594117</v>
      </c>
      <c r="F12" s="16" t="n">
        <v>118.225982</v>
      </c>
      <c r="G12" s="7">
        <f>GEOMEAN(C12,D12)</f>
        <v/>
      </c>
      <c r="H12" s="7">
        <f>GEOMEAN(E12,F12)</f>
        <v/>
      </c>
      <c r="I12" s="7">
        <f>AVERAGE(G12,H12)</f>
        <v/>
      </c>
      <c r="J12" s="7">
        <f>STDEV(G12,H12)</f>
        <v/>
      </c>
    </row>
    <row r="13">
      <c r="A13" s="4" t="inlineStr">
        <is>
          <t>KRT2</t>
        </is>
      </c>
      <c r="B13" s="4" t="n">
        <v>0</v>
      </c>
      <c r="C13" s="16" t="n">
        <v>1</v>
      </c>
      <c r="D13" s="16" t="n">
        <v>1</v>
      </c>
      <c r="E13" s="16" t="n">
        <v>1</v>
      </c>
      <c r="F13" s="16" t="n">
        <v>1</v>
      </c>
      <c r="G13" s="7">
        <f>GEOMEAN(C13,D13)</f>
        <v/>
      </c>
      <c r="H13" s="7">
        <f>GEOMEAN(E13,F13)</f>
        <v/>
      </c>
      <c r="I13" s="7">
        <f>AVERAGE(G13,H13)</f>
        <v/>
      </c>
      <c r="J13" s="7">
        <f>STDEV(G13,H13)</f>
        <v/>
      </c>
    </row>
    <row r="14">
      <c r="A14" s="4" t="inlineStr">
        <is>
          <t>KRT2</t>
        </is>
      </c>
      <c r="B14" s="4" t="n">
        <v>7</v>
      </c>
      <c r="C14" s="16" t="n">
        <v>2.04924663</v>
      </c>
      <c r="D14" s="16" t="n">
        <v>4.98844718</v>
      </c>
      <c r="E14" s="16" t="n">
        <v>2.04924663</v>
      </c>
      <c r="F14" s="16" t="n">
        <v>4.98844718</v>
      </c>
      <c r="G14" s="7">
        <f>GEOMEAN(C14,D14)</f>
        <v/>
      </c>
      <c r="H14" s="7">
        <f>GEOMEAN(E14,F14)</f>
        <v/>
      </c>
      <c r="I14" s="7">
        <f>AVERAGE(G14,H14)</f>
        <v/>
      </c>
      <c r="J14" s="7">
        <f>STDEV(G14,H14)</f>
        <v/>
      </c>
    </row>
    <row r="15">
      <c r="A15" s="4" t="inlineStr">
        <is>
          <t>KRT2</t>
        </is>
      </c>
      <c r="B15" s="4" t="n">
        <v>14</v>
      </c>
      <c r="C15" s="16" t="n">
        <v>4.213340534</v>
      </c>
      <c r="D15" s="16" t="n">
        <v>377.295873</v>
      </c>
      <c r="E15" s="16" t="n">
        <v>4.213340534</v>
      </c>
      <c r="F15" s="16" t="n">
        <v>377.295873</v>
      </c>
      <c r="G15" s="7">
        <f>GEOMEAN(C15,D15)</f>
        <v/>
      </c>
      <c r="H15" s="7">
        <f>GEOMEAN(E15,F15)</f>
        <v/>
      </c>
      <c r="I15" s="7">
        <f>AVERAGE(G15,H15)</f>
        <v/>
      </c>
      <c r="J15" s="7">
        <f>STDEV(G15,H15)</f>
        <v/>
      </c>
    </row>
    <row r="16">
      <c r="A16" s="4" t="inlineStr">
        <is>
          <t>KRT2</t>
        </is>
      </c>
      <c r="B16" s="4" t="n">
        <v>20</v>
      </c>
      <c r="C16" s="16" t="n">
        <v>0.252368294</v>
      </c>
      <c r="D16" s="16" t="n">
        <v>49.6153269</v>
      </c>
      <c r="E16" s="16" t="n">
        <v>0.252368294</v>
      </c>
      <c r="F16" s="16" t="n">
        <v>49.6153269</v>
      </c>
      <c r="G16" s="7">
        <f>GEOMEAN(C16,D16)</f>
        <v/>
      </c>
      <c r="H16" s="7">
        <f>GEOMEAN(E16,F16)</f>
        <v/>
      </c>
      <c r="I16" s="7">
        <f>AVERAGE(G16,H16)</f>
        <v/>
      </c>
      <c r="J16" s="7">
        <f>STDEV(G16,H16)</f>
        <v/>
      </c>
    </row>
    <row r="17">
      <c r="A17" s="4" t="inlineStr">
        <is>
          <t>IVL</t>
        </is>
      </c>
      <c r="B17" s="4" t="n">
        <v>0</v>
      </c>
      <c r="C17" s="16" t="n">
        <v>1</v>
      </c>
      <c r="D17" s="16" t="n">
        <v>1</v>
      </c>
      <c r="E17" s="16" t="n">
        <v>1</v>
      </c>
      <c r="F17" s="16" t="n">
        <v>1</v>
      </c>
      <c r="G17" s="7">
        <f>GEOMEAN(C17,D17)</f>
        <v/>
      </c>
      <c r="H17" s="7">
        <f>GEOMEAN(E17,F17)</f>
        <v/>
      </c>
      <c r="I17" s="7">
        <f>AVERAGE(G17,H17)</f>
        <v/>
      </c>
      <c r="J17" s="7">
        <f>STDEV(G17,H17)</f>
        <v/>
      </c>
    </row>
    <row r="18">
      <c r="A18" s="4" t="inlineStr">
        <is>
          <t>IVL</t>
        </is>
      </c>
      <c r="B18" s="4" t="n">
        <v>7</v>
      </c>
      <c r="C18" s="16" t="n">
        <v>0.808314011</v>
      </c>
      <c r="D18" s="16" t="n">
        <v>1.15453732</v>
      </c>
      <c r="E18" s="16" t="n">
        <v>0.808314011</v>
      </c>
      <c r="F18" s="16" t="n">
        <v>2.2412587</v>
      </c>
      <c r="G18" s="7">
        <f>GEOMEAN(C18,D18)</f>
        <v/>
      </c>
      <c r="H18" s="7">
        <f>GEOMEAN(E18,F18)</f>
        <v/>
      </c>
      <c r="I18" s="7">
        <f>AVERAGE(G18,H18)</f>
        <v/>
      </c>
      <c r="J18" s="7">
        <f>STDEV(G18,H18)</f>
        <v/>
      </c>
    </row>
    <row r="19">
      <c r="A19" s="4" t="inlineStr">
        <is>
          <t>IVL</t>
        </is>
      </c>
      <c r="B19" s="4" t="n">
        <v>14</v>
      </c>
      <c r="C19" s="16" t="n">
        <v>47.51502437</v>
      </c>
      <c r="D19" s="16" t="n">
        <v>4565.68891</v>
      </c>
      <c r="E19" s="16" t="n">
        <v>47.51502437</v>
      </c>
      <c r="F19" s="16" t="n">
        <v>14764.4908</v>
      </c>
      <c r="G19" s="7">
        <f>GEOMEAN(C19,D19)</f>
        <v/>
      </c>
      <c r="H19" s="7">
        <f>GEOMEAN(E19,F19)</f>
        <v/>
      </c>
      <c r="I19" s="7">
        <f>AVERAGE(G19,H19)</f>
        <v/>
      </c>
      <c r="J19" s="7">
        <f>STDEV(G19,H19)</f>
        <v/>
      </c>
    </row>
    <row r="20">
      <c r="A20" s="4" t="inlineStr">
        <is>
          <t>IVL</t>
        </is>
      </c>
      <c r="B20" s="4" t="n">
        <v>20</v>
      </c>
      <c r="C20" s="16" t="n">
        <v>5.096533244</v>
      </c>
      <c r="D20" s="16" t="n">
        <v>198.573638</v>
      </c>
      <c r="E20" s="16" t="n">
        <v>5.096533244</v>
      </c>
      <c r="F20" s="16" t="n">
        <v>565.932597</v>
      </c>
      <c r="G20" s="7">
        <f>GEOMEAN(C20,D20)</f>
        <v/>
      </c>
      <c r="H20" s="7">
        <f>GEOMEAN(E20,F20)</f>
        <v/>
      </c>
      <c r="I20" s="7">
        <f>AVERAGE(G20,H20)</f>
        <v/>
      </c>
      <c r="J20" s="7">
        <f>STDEV(G20,H20)</f>
        <v/>
      </c>
    </row>
    <row r="21">
      <c r="A21" s="4" t="inlineStr">
        <is>
          <t>KRT5</t>
        </is>
      </c>
      <c r="B21" s="4" t="n">
        <v>0</v>
      </c>
      <c r="C21" s="16" t="n">
        <v>1</v>
      </c>
      <c r="D21" s="16" t="n">
        <v>1</v>
      </c>
      <c r="E21" s="16" t="n">
        <v>1</v>
      </c>
      <c r="F21" s="16" t="n">
        <v>1</v>
      </c>
      <c r="G21" s="7">
        <f>GEOMEAN(C21,D21)</f>
        <v/>
      </c>
      <c r="H21" s="7">
        <f>GEOMEAN(E21,F21)</f>
        <v/>
      </c>
      <c r="I21" s="7">
        <f>AVERAGE(G21,H21)</f>
        <v/>
      </c>
      <c r="J21" s="7">
        <f>STDEV(G21,H21)</f>
        <v/>
      </c>
    </row>
    <row r="22">
      <c r="A22" s="4" t="inlineStr">
        <is>
          <t>KRT5</t>
        </is>
      </c>
      <c r="B22" s="4" t="n">
        <v>7</v>
      </c>
      <c r="C22" s="16" t="n">
        <v>6.36581323</v>
      </c>
      <c r="D22" s="16" t="n">
        <v>1.9515083</v>
      </c>
      <c r="E22" s="16" t="n">
        <v>6.36581323</v>
      </c>
      <c r="F22" s="16" t="n">
        <v>1.9515083</v>
      </c>
      <c r="G22" s="7">
        <f>GEOMEAN(C22,D22)</f>
        <v/>
      </c>
      <c r="H22" s="7">
        <f>GEOMEAN(E22,F22)</f>
        <v/>
      </c>
      <c r="I22" s="7">
        <f>AVERAGE(G22,H22)</f>
        <v/>
      </c>
      <c r="J22" s="7">
        <f>STDEV(G22,H22)</f>
        <v/>
      </c>
    </row>
    <row r="23">
      <c r="A23" s="4" t="inlineStr">
        <is>
          <t>KRT5</t>
        </is>
      </c>
      <c r="B23" s="4" t="n">
        <v>14</v>
      </c>
      <c r="C23" s="16" t="n">
        <v>0.178711827</v>
      </c>
      <c r="D23" s="16" t="n">
        <v>0.15521415</v>
      </c>
      <c r="E23" s="16" t="n">
        <v>0.178711827</v>
      </c>
      <c r="F23" s="16" t="n">
        <v>0.15521415</v>
      </c>
      <c r="G23" s="7">
        <f>GEOMEAN(C23,D23)</f>
        <v/>
      </c>
      <c r="H23" s="7">
        <f>GEOMEAN(E23,F23)</f>
        <v/>
      </c>
      <c r="I23" s="7">
        <f>AVERAGE(G23,H23)</f>
        <v/>
      </c>
      <c r="J23" s="7">
        <f>STDEV(G23,H23)</f>
        <v/>
      </c>
    </row>
    <row r="24">
      <c r="A24" s="4" t="inlineStr">
        <is>
          <t>KRT5</t>
        </is>
      </c>
      <c r="B24" s="4" t="n">
        <v>20</v>
      </c>
      <c r="C24" s="16" t="n">
        <v>0.22362597</v>
      </c>
      <c r="D24" s="16" t="n">
        <v>0.5841091</v>
      </c>
      <c r="E24" s="16" t="n">
        <v>0.22362597</v>
      </c>
      <c r="F24" s="16" t="n">
        <v>0.5841091</v>
      </c>
      <c r="G24" s="7">
        <f>GEOMEAN(C24,D24)</f>
        <v/>
      </c>
      <c r="H24" s="7">
        <f>GEOMEAN(E24,F24)</f>
        <v/>
      </c>
      <c r="I24" s="7">
        <f>AVERAGE(G24,H24)</f>
        <v/>
      </c>
      <c r="J24" s="7">
        <f>STDEV(G24,H24)</f>
        <v/>
      </c>
    </row>
    <row r="25">
      <c r="A25" s="4" t="inlineStr">
        <is>
          <t>KRT14</t>
        </is>
      </c>
      <c r="B25" s="4" t="n">
        <v>0</v>
      </c>
      <c r="C25" s="16" t="n">
        <v>1</v>
      </c>
      <c r="D25" s="16" t="n">
        <v>1</v>
      </c>
      <c r="E25" s="16" t="n">
        <v>1</v>
      </c>
      <c r="F25" s="16" t="n">
        <v>1</v>
      </c>
      <c r="G25" s="7">
        <f>GEOMEAN(C25,D25)</f>
        <v/>
      </c>
      <c r="H25" s="7">
        <f>GEOMEAN(E25,F25)</f>
        <v/>
      </c>
      <c r="I25" s="7">
        <f>AVERAGE(G25,H25)</f>
        <v/>
      </c>
      <c r="J25" s="7">
        <f>STDEV(G25,H25)</f>
        <v/>
      </c>
    </row>
    <row r="26">
      <c r="A26" s="4" t="inlineStr">
        <is>
          <t>KRT14</t>
        </is>
      </c>
      <c r="B26" s="4" t="n">
        <v>7</v>
      </c>
      <c r="C26" s="16" t="n">
        <v>2.785870343</v>
      </c>
      <c r="D26" s="16" t="n">
        <v>2.40481999</v>
      </c>
      <c r="E26" s="16" t="n">
        <v>2.785870343</v>
      </c>
      <c r="F26" s="16" t="n">
        <v>2.40481999</v>
      </c>
      <c r="G26" s="7">
        <f>GEOMEAN(C26,D26)</f>
        <v/>
      </c>
      <c r="H26" s="7">
        <f>GEOMEAN(E26,F26)</f>
        <v/>
      </c>
      <c r="I26" s="7">
        <f>AVERAGE(G26,H26)</f>
        <v/>
      </c>
      <c r="J26" s="7">
        <f>STDEV(G26,H26)</f>
        <v/>
      </c>
    </row>
    <row r="27">
      <c r="A27" s="4" t="inlineStr">
        <is>
          <t>KRT14</t>
        </is>
      </c>
      <c r="B27" s="4" t="n">
        <v>14</v>
      </c>
      <c r="C27" s="16" t="n">
        <v>0.972730202</v>
      </c>
      <c r="D27" s="16" t="n">
        <v>0.33321561</v>
      </c>
      <c r="E27" s="16" t="n">
        <v>0.972730202</v>
      </c>
      <c r="F27" s="16" t="n">
        <v>0.33321561</v>
      </c>
      <c r="G27" s="7">
        <f>GEOMEAN(C27,D27)</f>
        <v/>
      </c>
      <c r="H27" s="7">
        <f>GEOMEAN(E27,F27)</f>
        <v/>
      </c>
      <c r="I27" s="7">
        <f>AVERAGE(G27,H27)</f>
        <v/>
      </c>
      <c r="J27" s="7">
        <f>STDEV(G27,H27)</f>
        <v/>
      </c>
    </row>
    <row r="28">
      <c r="A28" s="4" t="inlineStr">
        <is>
          <t>KRT14</t>
        </is>
      </c>
      <c r="B28" s="4" t="n">
        <v>20</v>
      </c>
      <c r="C28" s="16" t="n">
        <v>1.261520033</v>
      </c>
      <c r="D28" s="16" t="n">
        <v>0.82330068</v>
      </c>
      <c r="E28" s="16" t="n">
        <v>1.261520033</v>
      </c>
      <c r="F28" s="16" t="n">
        <v>0.82330068</v>
      </c>
      <c r="G28" s="7">
        <f>GEOMEAN(C28,D28)</f>
        <v/>
      </c>
      <c r="H28" s="7">
        <f>GEOMEAN(E28,F28)</f>
        <v/>
      </c>
      <c r="I28" s="7">
        <f>AVERAGE(G28,H28)</f>
        <v/>
      </c>
      <c r="J28" s="7">
        <f>STDEV(G28,H28)</f>
        <v/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13" customWidth="1" min="5" max="5"/>
    <col width="15" customWidth="1" min="6" max="6"/>
    <col width="10" customWidth="1" min="7" max="7"/>
  </cols>
  <sheetData>
    <row r="1">
      <c r="A1" s="1" t="inlineStr">
        <is>
          <t>MD2 (7 días, media de MD2 1 y 2) vs Medio 3D (media de rep1 y rep2)</t>
        </is>
      </c>
    </row>
    <row r="2">
      <c r="A2" s="2" t="inlineStr">
        <is>
          <t>Cada medio va relativo a su propio día 0. SD = entre las 2 réplicas biológicas (n=2). KRT5 no se midió en MD2.</t>
        </is>
      </c>
    </row>
    <row r="4" ht="30" customHeight="1">
      <c r="A4" s="3" t="inlineStr">
        <is>
          <t>Gen</t>
        </is>
      </c>
      <c r="B4" s="3" t="inlineStr">
        <is>
          <t>MD2 7d</t>
        </is>
      </c>
      <c r="C4" s="3" t="inlineStr">
        <is>
          <t>Medio 3D 7d</t>
        </is>
      </c>
      <c r="D4" s="3" t="inlineStr">
        <is>
          <t>SD MD2</t>
        </is>
      </c>
      <c r="E4" s="3" t="inlineStr">
        <is>
          <t>SD Medio 3D</t>
        </is>
      </c>
      <c r="F4" s="3" t="inlineStr">
        <is>
          <t>Medio 3D / MD2</t>
        </is>
      </c>
    </row>
    <row r="5">
      <c r="A5" s="4" t="inlineStr">
        <is>
          <t>KRT1</t>
        </is>
      </c>
      <c r="B5" s="7">
        <f>Resumen!K39</f>
        <v/>
      </c>
      <c r="C5" s="7">
        <f>SUMIFS(Medio3D!$I$5:$I$28,Medio3D!$A$5:$A$28,$A5,Medio3D!$B$5:$B$28,7)</f>
        <v/>
      </c>
      <c r="D5" s="7">
        <f>Resumen!M39</f>
        <v/>
      </c>
      <c r="E5" s="7">
        <f>SUMIFS(Medio3D!$J$5:$J$28,Medio3D!$A$5:$A$28,$A5,Medio3D!$B$5:$B$28,7)</f>
        <v/>
      </c>
      <c r="F5" s="7">
        <f>IF(B5=0,"",C5/B5)</f>
        <v/>
      </c>
    </row>
    <row r="6">
      <c r="A6" s="4" t="inlineStr">
        <is>
          <t>KRT2</t>
        </is>
      </c>
      <c r="B6" s="7">
        <f>Resumen!K40</f>
        <v/>
      </c>
      <c r="C6" s="7">
        <f>SUMIFS(Medio3D!$I$5:$I$28,Medio3D!$A$5:$A$28,$A6,Medio3D!$B$5:$B$28,7)</f>
        <v/>
      </c>
      <c r="D6" s="7">
        <f>Resumen!M40</f>
        <v/>
      </c>
      <c r="E6" s="7">
        <f>SUMIFS(Medio3D!$J$5:$J$28,Medio3D!$A$5:$A$28,$A6,Medio3D!$B$5:$B$28,7)</f>
        <v/>
      </c>
      <c r="F6" s="7">
        <f>IF(B6=0,"",C6/B6)</f>
        <v/>
      </c>
    </row>
    <row r="7">
      <c r="A7" s="4" t="inlineStr">
        <is>
          <t>KRT10</t>
        </is>
      </c>
      <c r="B7" s="7">
        <f>Resumen!K41</f>
        <v/>
      </c>
      <c r="C7" s="7">
        <f>SUMIFS(Medio3D!$I$5:$I$28,Medio3D!$A$5:$A$28,$A7,Medio3D!$B$5:$B$28,7)</f>
        <v/>
      </c>
      <c r="D7" s="7">
        <f>Resumen!M41</f>
        <v/>
      </c>
      <c r="E7" s="7">
        <f>SUMIFS(Medio3D!$J$5:$J$28,Medio3D!$A$5:$A$28,$A7,Medio3D!$B$5:$B$28,7)</f>
        <v/>
      </c>
      <c r="F7" s="7">
        <f>IF(B7=0,"",C7/B7)</f>
        <v/>
      </c>
    </row>
    <row r="8">
      <c r="A8" s="4" t="inlineStr">
        <is>
          <t>KRT14</t>
        </is>
      </c>
      <c r="B8" s="7">
        <f>Resumen!K42</f>
        <v/>
      </c>
      <c r="C8" s="7">
        <f>SUMIFS(Medio3D!$I$5:$I$28,Medio3D!$A$5:$A$28,$A8,Medio3D!$B$5:$B$28,7)</f>
        <v/>
      </c>
      <c r="D8" s="7">
        <f>Resumen!M42</f>
        <v/>
      </c>
      <c r="E8" s="7">
        <f>SUMIFS(Medio3D!$J$5:$J$28,Medio3D!$A$5:$A$28,$A8,Medio3D!$B$5:$B$28,7)</f>
        <v/>
      </c>
      <c r="F8" s="7">
        <f>IF(B8=0,"",C8/B8)</f>
        <v/>
      </c>
    </row>
    <row r="9">
      <c r="A9" s="4" t="inlineStr">
        <is>
          <t>IVL</t>
        </is>
      </c>
      <c r="B9" s="7">
        <f>Resumen!K43</f>
        <v/>
      </c>
      <c r="C9" s="7">
        <f>SUMIFS(Medio3D!$I$5:$I$28,Medio3D!$A$5:$A$28,$A9,Medio3D!$B$5:$B$28,7)</f>
        <v/>
      </c>
      <c r="D9" s="7">
        <f>Resumen!M43</f>
        <v/>
      </c>
      <c r="E9" s="7">
        <f>SUMIFS(Medio3D!$J$5:$J$28,Medio3D!$A$5:$A$28,$A9,Medio3D!$B$5:$B$28,7)</f>
        <v/>
      </c>
      <c r="F9" s="7">
        <f>IF(B9=0,"",C9/B9)</f>
        <v/>
      </c>
    </row>
    <row r="11">
      <c r="A11" s="14" t="inlineStr">
        <is>
          <t>Evolución en el Medio 3D (media de rep1 y rep2)</t>
        </is>
      </c>
    </row>
    <row r="12">
      <c r="A12" s="3" t="inlineStr">
        <is>
          <t>Gen</t>
        </is>
      </c>
      <c r="B12" s="3" t="inlineStr">
        <is>
          <t>7 d</t>
        </is>
      </c>
      <c r="C12" s="3" t="inlineStr">
        <is>
          <t>14 d</t>
        </is>
      </c>
      <c r="D12" s="3" t="inlineStr">
        <is>
          <t>20 d</t>
        </is>
      </c>
      <c r="E12" s="3" t="inlineStr">
        <is>
          <t>SD 7 d</t>
        </is>
      </c>
      <c r="F12" s="3" t="inlineStr">
        <is>
          <t>SD 14 d</t>
        </is>
      </c>
      <c r="G12" s="3" t="inlineStr">
        <is>
          <t>SD 20 d</t>
        </is>
      </c>
    </row>
    <row r="13">
      <c r="A13" s="4" t="inlineStr">
        <is>
          <t>KRT1</t>
        </is>
      </c>
      <c r="B13" s="7">
        <f>SUMIFS(Medio3D!$I$5:$I$28,Medio3D!$A$5:$A$28,$A13,Medio3D!$B$5:$B$28,7)</f>
        <v/>
      </c>
      <c r="C13" s="7">
        <f>SUMIFS(Medio3D!$I$5:$I$28,Medio3D!$A$5:$A$28,$A13,Medio3D!$B$5:$B$28,14)</f>
        <v/>
      </c>
      <c r="D13" s="7">
        <f>SUMIFS(Medio3D!$I$5:$I$28,Medio3D!$A$5:$A$28,$A13,Medio3D!$B$5:$B$28,20)</f>
        <v/>
      </c>
      <c r="E13" s="7">
        <f>SUMIFS(Medio3D!$J$5:$J$28,Medio3D!$A$5:$A$28,$A13,Medio3D!$B$5:$B$28,7)</f>
        <v/>
      </c>
      <c r="F13" s="7">
        <f>SUMIFS(Medio3D!$J$5:$J$28,Medio3D!$A$5:$A$28,$A13,Medio3D!$B$5:$B$28,14)</f>
        <v/>
      </c>
      <c r="G13" s="7">
        <f>SUMIFS(Medio3D!$J$5:$J$28,Medio3D!$A$5:$A$28,$A13,Medio3D!$B$5:$B$28,20)</f>
        <v/>
      </c>
    </row>
    <row r="14">
      <c r="A14" s="4" t="inlineStr">
        <is>
          <t>KRT10</t>
        </is>
      </c>
      <c r="B14" s="7">
        <f>SUMIFS(Medio3D!$I$5:$I$28,Medio3D!$A$5:$A$28,$A14,Medio3D!$B$5:$B$28,7)</f>
        <v/>
      </c>
      <c r="C14" s="7">
        <f>SUMIFS(Medio3D!$I$5:$I$28,Medio3D!$A$5:$A$28,$A14,Medio3D!$B$5:$B$28,14)</f>
        <v/>
      </c>
      <c r="D14" s="7">
        <f>SUMIFS(Medio3D!$I$5:$I$28,Medio3D!$A$5:$A$28,$A14,Medio3D!$B$5:$B$28,20)</f>
        <v/>
      </c>
      <c r="E14" s="7">
        <f>SUMIFS(Medio3D!$J$5:$J$28,Medio3D!$A$5:$A$28,$A14,Medio3D!$B$5:$B$28,7)</f>
        <v/>
      </c>
      <c r="F14" s="7">
        <f>SUMIFS(Medio3D!$J$5:$J$28,Medio3D!$A$5:$A$28,$A14,Medio3D!$B$5:$B$28,14)</f>
        <v/>
      </c>
      <c r="G14" s="7">
        <f>SUMIFS(Medio3D!$J$5:$J$28,Medio3D!$A$5:$A$28,$A14,Medio3D!$B$5:$B$28,20)</f>
        <v/>
      </c>
    </row>
    <row r="15">
      <c r="A15" s="4" t="inlineStr">
        <is>
          <t>KRT2</t>
        </is>
      </c>
      <c r="B15" s="7">
        <f>SUMIFS(Medio3D!$I$5:$I$28,Medio3D!$A$5:$A$28,$A15,Medio3D!$B$5:$B$28,7)</f>
        <v/>
      </c>
      <c r="C15" s="7">
        <f>SUMIFS(Medio3D!$I$5:$I$28,Medio3D!$A$5:$A$28,$A15,Medio3D!$B$5:$B$28,14)</f>
        <v/>
      </c>
      <c r="D15" s="7">
        <f>SUMIFS(Medio3D!$I$5:$I$28,Medio3D!$A$5:$A$28,$A15,Medio3D!$B$5:$B$28,20)</f>
        <v/>
      </c>
      <c r="E15" s="7">
        <f>SUMIFS(Medio3D!$J$5:$J$28,Medio3D!$A$5:$A$28,$A15,Medio3D!$B$5:$B$28,7)</f>
        <v/>
      </c>
      <c r="F15" s="7">
        <f>SUMIFS(Medio3D!$J$5:$J$28,Medio3D!$A$5:$A$28,$A15,Medio3D!$B$5:$B$28,14)</f>
        <v/>
      </c>
      <c r="G15" s="7">
        <f>SUMIFS(Medio3D!$J$5:$J$28,Medio3D!$A$5:$A$28,$A15,Medio3D!$B$5:$B$28,20)</f>
        <v/>
      </c>
    </row>
    <row r="16">
      <c r="A16" s="4" t="inlineStr">
        <is>
          <t>IVL</t>
        </is>
      </c>
      <c r="B16" s="7">
        <f>SUMIFS(Medio3D!$I$5:$I$28,Medio3D!$A$5:$A$28,$A16,Medio3D!$B$5:$B$28,7)</f>
        <v/>
      </c>
      <c r="C16" s="7">
        <f>SUMIFS(Medio3D!$I$5:$I$28,Medio3D!$A$5:$A$28,$A16,Medio3D!$B$5:$B$28,14)</f>
        <v/>
      </c>
      <c r="D16" s="7">
        <f>SUMIFS(Medio3D!$I$5:$I$28,Medio3D!$A$5:$A$28,$A16,Medio3D!$B$5:$B$28,20)</f>
        <v/>
      </c>
      <c r="E16" s="7">
        <f>SUMIFS(Medio3D!$J$5:$J$28,Medio3D!$A$5:$A$28,$A16,Medio3D!$B$5:$B$28,7)</f>
        <v/>
      </c>
      <c r="F16" s="7">
        <f>SUMIFS(Medio3D!$J$5:$J$28,Medio3D!$A$5:$A$28,$A16,Medio3D!$B$5:$B$28,14)</f>
        <v/>
      </c>
      <c r="G16" s="7">
        <f>SUMIFS(Medio3D!$J$5:$J$28,Medio3D!$A$5:$A$28,$A16,Medio3D!$B$5:$B$28,20)</f>
        <v/>
      </c>
    </row>
    <row r="17">
      <c r="A17" s="4" t="inlineStr">
        <is>
          <t>KRT5</t>
        </is>
      </c>
      <c r="B17" s="7">
        <f>SUMIFS(Medio3D!$I$5:$I$28,Medio3D!$A$5:$A$28,$A17,Medio3D!$B$5:$B$28,7)</f>
        <v/>
      </c>
      <c r="C17" s="7">
        <f>SUMIFS(Medio3D!$I$5:$I$28,Medio3D!$A$5:$A$28,$A17,Medio3D!$B$5:$B$28,14)</f>
        <v/>
      </c>
      <c r="D17" s="7">
        <f>SUMIFS(Medio3D!$I$5:$I$28,Medio3D!$A$5:$A$28,$A17,Medio3D!$B$5:$B$28,20)</f>
        <v/>
      </c>
      <c r="E17" s="7">
        <f>SUMIFS(Medio3D!$J$5:$J$28,Medio3D!$A$5:$A$28,$A17,Medio3D!$B$5:$B$28,7)</f>
        <v/>
      </c>
      <c r="F17" s="7">
        <f>SUMIFS(Medio3D!$J$5:$J$28,Medio3D!$A$5:$A$28,$A17,Medio3D!$B$5:$B$28,14)</f>
        <v/>
      </c>
      <c r="G17" s="7">
        <f>SUMIFS(Medio3D!$J$5:$J$28,Medio3D!$A$5:$A$28,$A17,Medio3D!$B$5:$B$28,20)</f>
        <v/>
      </c>
    </row>
    <row r="18">
      <c r="A18" s="4" t="inlineStr">
        <is>
          <t>KRT14</t>
        </is>
      </c>
      <c r="B18" s="7">
        <f>SUMIFS(Medio3D!$I$5:$I$28,Medio3D!$A$5:$A$28,$A18,Medio3D!$B$5:$B$28,7)</f>
        <v/>
      </c>
      <c r="C18" s="7">
        <f>SUMIFS(Medio3D!$I$5:$I$28,Medio3D!$A$5:$A$28,$A18,Medio3D!$B$5:$B$28,14)</f>
        <v/>
      </c>
      <c r="D18" s="7">
        <f>SUMIFS(Medio3D!$I$5:$I$28,Medio3D!$A$5:$A$28,$A18,Medio3D!$B$5:$B$28,20)</f>
        <v/>
      </c>
      <c r="E18" s="7">
        <f>SUMIFS(Medio3D!$J$5:$J$28,Medio3D!$A$5:$A$28,$A18,Medio3D!$B$5:$B$28,7)</f>
        <v/>
      </c>
      <c r="F18" s="7">
        <f>SUMIFS(Medio3D!$J$5:$J$28,Medio3D!$A$5:$A$28,$A18,Medio3D!$B$5:$B$28,14)</f>
        <v/>
      </c>
      <c r="G18" s="7">
        <f>SUMIFS(Medio3D!$J$5:$J$28,Medio3D!$A$5:$A$28,$A18,Medio3D!$B$5:$B$28,20)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2026-10-19T10:48:58Z</dcterms:created>
  <dcterms:modified xsi:type="dcterms:W3CDTF">2026-10-19T10:48:58Z</dcterms:modified>
</cp:coreProperties>
</file>