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a" sheetId="1" state="visible" r:id="rId3"/>
    <sheet name="Geles 3-4 - K10" sheetId="2" state="visible" r:id="rId4"/>
    <sheet name="Gel 2 - K1" sheetId="3" state="visible" r:id="rId5"/>
    <sheet name="Mapa RO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Banda SATURADA (negro plano, desborda la caja; 7,35 u/px frente a 2,66 en wt3).
41900 es una cota inferior, no una medida. Re-adquirir con menos exposición.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En fondo. La vinculina del carril es normal (1400), así que se cargó proteína:
lo que falta es señal de K1, no muestra.</t>
        </r>
      </text>
    </comment>
  </commentList>
</comments>
</file>

<file path=xl/sharedStrings.xml><?xml version="1.0" encoding="utf-8"?>
<sst xmlns="http://schemas.openxmlformats.org/spreadsheetml/2006/main" count="348" uniqueCount="154">
  <si>
    <t xml:space="preserve">Western blot 2026-10-07 — resultados</t>
  </si>
  <si>
    <t xml:space="preserve">ESTRUCTURA DEL EXPERIMENTO</t>
  </si>
  <si>
    <t xml:space="preserve">Gel 1</t>
  </si>
  <si>
    <t xml:space="preserve">9 carriles (set K1/K10)</t>
  </si>
  <si>
    <t xml:space="preserve">anti-K10 + vinculina — señal insuficiente, SIN cuantificar</t>
  </si>
  <si>
    <t xml:space="preserve">Gel 2</t>
  </si>
  <si>
    <t xml:space="preserve">9 carriles (mismas muestras que el gel 1)</t>
  </si>
  <si>
    <t xml:space="preserve">anti-K1 (canal 785) + vinculina (685)</t>
  </si>
  <si>
    <t xml:space="preserve">Gel 3</t>
  </si>
  <si>
    <t xml:space="preserve">10 carriles (líneas de K10), muestras cargadas 2x</t>
  </si>
  <si>
    <t xml:space="preserve">membrana cortada: 1/2 anti-K10 + 1/2 anti-Myc-DDK</t>
  </si>
  <si>
    <t xml:space="preserve">Gel 4</t>
  </si>
  <si>
    <t xml:space="preserve">10 carriles (idem gel 3)</t>
  </si>
  <si>
    <t xml:space="preserve">Geles 1 y 2 son las mismas muestras con un anticuerpo cada uno: anti-K1 es rabbit y anti-K10 es ratón, igual que</t>
  </si>
  <si>
    <t xml:space="preserve">la vinculina, así que en una sola membrana anti-K10 y vinculina se habrían pisado en el canal 685.</t>
  </si>
  <si>
    <t xml:space="preserve">Geles 3 y 4 son RÉPLICAS TÉCNICAS: el mismo lisado corrido dos veces por separado. n biológico = 1.</t>
  </si>
  <si>
    <t xml:space="preserve">RESULTADO 1 — K10 mut1 acumula más proteína que K10 wt3  (geles 3 y 4)</t>
  </si>
  <si>
    <t xml:space="preserve">Misma dirección en 2 réplicas técnicas x 2 anticuerpos: 4/4.</t>
  </si>
  <si>
    <t xml:space="preserve">anti-K10 (estimador preferido):</t>
  </si>
  <si>
    <t xml:space="preserve">mut1/wt3 = 1,22x y 1,42x</t>
  </si>
  <si>
    <t xml:space="preserve">media 1,32x</t>
  </si>
  <si>
    <t xml:space="preserve">anti-Myc-DDK:</t>
  </si>
  <si>
    <t xml:space="preserve">mut1/wt3 = 1,22x y 2,35x</t>
  </si>
  <si>
    <t xml:space="preserve">media 1,79x — la banda de mut1 del gel 4 está SATURADA</t>
  </si>
  <si>
    <t xml:space="preserve">Los carriles mut1 van más cargados (vinculina 1,10–1,71x). Normalizar reduce el efecto pero no lo anula.</t>
  </si>
  <si>
    <t xml:space="preserve">RESULTADO 2 — K1 ectópico se degrada; co-expresar K10 lo rescata  (gel 2)</t>
  </si>
  <si>
    <t xml:space="preserve">K1 WT y K1 mut solos: K1 total al 0,4 % y 1,6 % del parental, con vinculina normal → no es fallo de carga.</t>
  </si>
  <si>
    <t xml:space="preserve">Añadir K10 a esas mismas construcciones devuelve señal clara de K1 (ver hoja 'Gel 2 - K1').</t>
  </si>
  <si>
    <t xml:space="preserve">Esta última comparación es entre carriles transfectados, así que no la confunde la lipofección.</t>
  </si>
  <si>
    <t xml:space="preserve">LO QUE ESTO CIERRA</t>
  </si>
  <si>
    <t xml:space="preserve">El mutante de K10 no se fragmenta en dispasa por tener menos K10: tiene ~1,3x más que la línea wt que aguanta.</t>
  </si>
  <si>
    <t xml:space="preserve">El fallo es cualitativo, no de abundancia. Y wt3/mut1 son pools, no clones, así que no es artefacto clonal.</t>
  </si>
  <si>
    <t xml:space="preserve">Conclusión firme en negativo: la cohesión NO escala con la cantidad de K10.</t>
  </si>
  <si>
    <t xml:space="preserve">LÍMITES — leer antes de usar cualquier número de aquí</t>
  </si>
  <si>
    <t xml:space="preserve">1</t>
  </si>
  <si>
    <t xml:space="preserve">n biológico = 1</t>
  </si>
  <si>
    <t xml:space="preserve">Geles 3 y 4 son el mismo lisado. Hacen falta &gt;=3 extracciones independientes para publicar.</t>
  </si>
  <si>
    <t xml:space="preserve">2</t>
  </si>
  <si>
    <t xml:space="preserve">Sin estadística</t>
  </si>
  <si>
    <t xml:space="preserve">Con 2 réplicas técnicas y 1,2–1,4x no hay test que aguante.</t>
  </si>
  <si>
    <t xml:space="preserve">3</t>
  </si>
  <si>
    <t xml:space="preserve">Banda saturada</t>
  </si>
  <si>
    <t xml:space="preserve">ROI 1 (Myc-DDK mut1, gel 4) es negro plano: 41900 es cota inferior, no una medida.</t>
  </si>
  <si>
    <t xml:space="preserve">4</t>
  </si>
  <si>
    <t xml:space="preserve">No hay vector vacío</t>
  </si>
  <si>
    <t xml:space="preserve">Sólo parental sin transfectar. Toda comparación 'X vs parental' del gel 2 confunde</t>
  </si>
  <si>
    <t xml:space="preserve">biología con lipofección — incluidos los carriles KerCT+K10 y K10 wt3, al 31 % y 10 % del parental.</t>
  </si>
  <si>
    <t xml:space="preserve">5</t>
  </si>
  <si>
    <t xml:space="preserve">Controles sin cuantificar</t>
  </si>
  <si>
    <t xml:space="preserve">KerCT WT y KO K10 están cargados en los geles 3–4 pero no tienen ROI. Es gratis añadirlos.</t>
  </si>
  <si>
    <t xml:space="preserve">6</t>
  </si>
  <si>
    <t xml:space="preserve">Gel 1 perdido</t>
  </si>
  <si>
    <t xml:space="preserve">Es el anti-K10 de las mismas muestras del gel 2. Sin él no está verificado que la</t>
  </si>
  <si>
    <t xml:space="preserve">co-transfección de K10 funcionara en los carriles donde aparece el rescate. Merece reexposición.</t>
  </si>
  <si>
    <t xml:space="preserve">7</t>
  </si>
  <si>
    <t xml:space="preserve">Cajas solapadas</t>
  </si>
  <si>
    <t xml:space="preserve">Las de ROI 1 y ROI 3 se tocan; la banda de mut1 invade la de wt3 e infla wt3.</t>
  </si>
  <si>
    <t xml:space="preserve">8</t>
  </si>
  <si>
    <t xml:space="preserve">ROI 19 sin asignar</t>
  </si>
  <si>
    <t xml:space="preserve">3610, gel 3, fondo 0,977 (el triple del resto). ¿Banda inferior, degradación, o mancha?</t>
  </si>
  <si>
    <t xml:space="preserve">Geles 3 y 4 — líneas estables de K10: wt3 vs mut1</t>
  </si>
  <si>
    <t xml:space="preserve">Réplicas técnicas del mismo lisado (n biológico = 1). Normalizado = señal / vinculina del mismo carril.</t>
  </si>
  <si>
    <t xml:space="preserve">1. Datos brutos y normalización</t>
  </si>
  <si>
    <t xml:space="preserve">Gel</t>
  </si>
  <si>
    <t xml:space="preserve">Anticuerpo</t>
  </si>
  <si>
    <t xml:space="preserve">Línea</t>
  </si>
  <si>
    <t xml:space="preserve">ROI señal</t>
  </si>
  <si>
    <t xml:space="preserve">Señal</t>
  </si>
  <si>
    <t xml:space="preserve">ROI vinculina</t>
  </si>
  <si>
    <t xml:space="preserve">Vinculina</t>
  </si>
  <si>
    <t xml:space="preserve">Normalizado</t>
  </si>
  <si>
    <t xml:space="preserve">anti-Myc-DDK</t>
  </si>
  <si>
    <t xml:space="preserve">wt3</t>
  </si>
  <si>
    <t xml:space="preserve">mut1</t>
  </si>
  <si>
    <t xml:space="preserve">anti-K10</t>
  </si>
  <si>
    <t xml:space="preserve">2. Resumen — anti-Myc-DDK (normalizado por vinculina)</t>
  </si>
  <si>
    <t xml:space="preserve">Réplica técnica</t>
  </si>
  <si>
    <t xml:space="preserve">mut1 / wt3</t>
  </si>
  <si>
    <t xml:space="preserve">Media</t>
  </si>
  <si>
    <t xml:space="preserve">La media arrastra la banda saturada del gel 4; la dispersión 1,22–2,35x es técnica, no biológica.</t>
  </si>
  <si>
    <t xml:space="preserve">3. Resumen — anti-K10 (normalizado por vinculina)</t>
  </si>
  <si>
    <t xml:space="preserve">Estimador preferido: ambas bandas dentro de rango lineal (1,3–2,4 u/px).</t>
  </si>
  <si>
    <t xml:space="preserve">4. Vinculina — control de carga</t>
  </si>
  <si>
    <t xml:space="preserve">Vinculina wt3</t>
  </si>
  <si>
    <t xml:space="preserve">Vinculina mut1</t>
  </si>
  <si>
    <t xml:space="preserve">Los carriles mut1 van sistemáticamente más cargados. Por eso el cociente en bruto exagera la diferencia.</t>
  </si>
  <si>
    <t xml:space="preserve">Gel 2 — anti-K1 (canal 785), 7 muestras</t>
  </si>
  <si>
    <t xml:space="preserve">Vinculina en la MISMA membrana (canal 685). Carriles 1 y 9 = marcador.</t>
  </si>
  <si>
    <t xml:space="preserve">1. Datos y normalización</t>
  </si>
  <si>
    <t xml:space="preserve">Carril</t>
  </si>
  <si>
    <t xml:space="preserve">Muestra</t>
  </si>
  <si>
    <t xml:space="preserve">ROI K1</t>
  </si>
  <si>
    <t xml:space="preserve">K1 (785)</t>
  </si>
  <si>
    <t xml:space="preserve">ROI vinc.</t>
  </si>
  <si>
    <t xml:space="preserve">K1 / vinculina</t>
  </si>
  <si>
    <t xml:space="preserve">% del parental</t>
  </si>
  <si>
    <t xml:space="preserve">KerCT WT</t>
  </si>
  <si>
    <t xml:space="preserve">K1 WT</t>
  </si>
  <si>
    <t xml:space="preserve">K1 mut</t>
  </si>
  <si>
    <t xml:space="preserve">KerCT + K10</t>
  </si>
  <si>
    <t xml:space="preserve">K1 WT + K10</t>
  </si>
  <si>
    <t xml:space="preserve">K1 mut + K10</t>
  </si>
  <si>
    <t xml:space="preserve">K10 wt3</t>
  </si>
  <si>
    <t xml:space="preserve">Los dos carriles sombreados están en fondo con vinculina normal → no es fallo de carga.</t>
  </si>
  <si>
    <t xml:space="preserve">2. Rescate por K10 — comparación interna entre carriles transfectados</t>
  </si>
  <si>
    <t xml:space="preserve">Construcción</t>
  </si>
  <si>
    <t xml:space="preserve">Sin K10</t>
  </si>
  <si>
    <t xml:space="preserve">Con K10</t>
  </si>
  <si>
    <t xml:space="preserve">Veces</t>
  </si>
  <si>
    <t xml:space="preserve">Las cuatro muestras comparadas están transfectadas, así que la lipofección pesa igual en las dos columnas: ésta es la comparación limpia del gel.</t>
  </si>
  <si>
    <t xml:space="preserve">Pero el cociente en sí no es fiable: el denominador está en el límite de detección (16 y 100 unidades), así que 'x veces' no tiene cota superior.</t>
  </si>
  <si>
    <t xml:space="preserve">Lo defendible es cualitativo: K1 solo = indetectable; K1 + K10 = señal clara.</t>
  </si>
  <si>
    <t xml:space="preserve">3. Advertencia sobre los carriles 5 y 8</t>
  </si>
  <si>
    <t xml:space="preserve">KerCT+K10 y K10 wt3 no llevan K1 ectópico y dan K1 endógeno al 31 % y 10 % del parental. Si K10 elevara el techo deberían estar &gt;=100 %.</t>
  </si>
  <si>
    <t xml:space="preserve">No se puede decidir con estos datos: el carril 2 es el ÚNICO sin transfectar y no hay control de vector vacío, así que el efecto de la lipofección</t>
  </si>
  <si>
    <t xml:space="preserve">explicaría el descenso por sí solo. Un carril de KerCT + plásmido vacío lo resuelve.</t>
  </si>
  <si>
    <t xml:space="preserve">Trazabilidad — los 39 ROIs de Image Studio</t>
  </si>
  <si>
    <t xml:space="preserve">Asignación reconstruida cruzando la clave del cuaderno con la posición de cada caja en las imágenes incrustadas.</t>
  </si>
  <si>
    <t xml:space="preserve">ROI</t>
  </si>
  <si>
    <t xml:space="preserve">Canal</t>
  </si>
  <si>
    <t xml:space="preserve">Anticuerpo / lectura</t>
  </si>
  <si>
    <t xml:space="preserve">Total</t>
  </si>
  <si>
    <t xml:space="preserve">Área</t>
  </si>
  <si>
    <t xml:space="preserve">Fondo</t>
  </si>
  <si>
    <t xml:space="preserve">Nota</t>
  </si>
  <si>
    <t xml:space="preserve">685</t>
  </si>
  <si>
    <t xml:space="preserve">K10 mut1</t>
  </si>
  <si>
    <t xml:space="preserve">SATURADA — cota inferior</t>
  </si>
  <si>
    <t xml:space="preserve">785</t>
  </si>
  <si>
    <t xml:space="preserve">Gel 3/4</t>
  </si>
  <si>
    <t xml:space="preserve">control de canal (tira)</t>
  </si>
  <si>
    <t xml:space="preserve">—</t>
  </si>
  <si>
    <t xml:space="preserve">blanco, como se espera</t>
  </si>
  <si>
    <t xml:space="preserve">caja pegada a la de ROI 1</t>
  </si>
  <si>
    <t xml:space="preserve">vinculina (1/2 Myc)</t>
  </si>
  <si>
    <t xml:space="preserve">vinculina (1/2 K10)</t>
  </si>
  <si>
    <t xml:space="preserve">SIN ASIGNAR</t>
  </si>
  <si>
    <t xml:space="preserve">fondo 0,977 = el triple del resto</t>
  </si>
  <si>
    <t xml:space="preserve">blanco</t>
  </si>
  <si>
    <t xml:space="preserve">control 685 a la altura de K1</t>
  </si>
  <si>
    <t xml:space="preserve">vacío: la vinculina corre más arriba</t>
  </si>
  <si>
    <t xml:space="preserve">anti-K1</t>
  </si>
  <si>
    <t xml:space="preserve">carril 2</t>
  </si>
  <si>
    <t xml:space="preserve">carril 3 — en fondo</t>
  </si>
  <si>
    <t xml:space="preserve">carril 4 — en fondo</t>
  </si>
  <si>
    <t xml:space="preserve">carril 5</t>
  </si>
  <si>
    <t xml:space="preserve">carril 6</t>
  </si>
  <si>
    <t xml:space="preserve">carril 8</t>
  </si>
  <si>
    <t xml:space="preserve">carril 7</t>
  </si>
  <si>
    <t xml:space="preserve">vinculina</t>
  </si>
  <si>
    <t xml:space="preserve">carril 3</t>
  </si>
  <si>
    <t xml:space="preserve">carril 4</t>
  </si>
  <si>
    <t xml:space="preserve">El ROI 4 no existe en el fichero original (caja borrada).</t>
  </si>
  <si>
    <t xml:space="preserve">'Señal' viene con el fondo ya restado: Señal = Total - Área x Fondo.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</si>
</sst>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"/>
    <numFmt numFmtId="167" formatCode="0.00\x"/>
    <numFmt numFmtId="168" formatCode="#,##0.0"/>
    <numFmt numFmtId="169" formatCode="0.000"/>
    <numFmt numFmtId="170" formatCode="0.0%"/>
    <numFmt numFmtId="171" formatCode="0.0\x"/>
    <numFmt numFmtId="172" formatCode="#,##0.0###"/>
    <numFmt numFmtId="173" formatCode="0.0###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C5CAB"/>
        <bgColor rgb="FF2A78D6"/>
      </patternFill>
    </fill>
    <fill>
      <patternFill patternType="solid">
        <fgColor rgb="FFEDF3FB"/>
        <bgColor rgb="FFFFF4E8"/>
      </patternFill>
    </fill>
    <fill>
      <patternFill patternType="solid">
        <fgColor rgb="FFFFE0CC"/>
        <bgColor rgb="FFFFF4E8"/>
      </patternFill>
    </fill>
    <fill>
      <patternFill patternType="solid">
        <fgColor rgb="FFFFF4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8"/>
      <rgbColor rgb="FF878787"/>
      <rgbColor rgb="FF9999FF"/>
      <rgbColor rgb="FF993366"/>
      <rgbColor rgb="FFFFF4E8"/>
      <rgbColor rgb="FFEDF3FB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CC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anti-Myc-DDK — señal / vinculina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"wt3"</c:f>
              <c:strCache>
                <c:ptCount val="1"/>
                <c:pt idx="0">
                  <c:v>wt3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'Geles 3-4 - K10'!$A$18:$A$19</c:f>
              <c:strCache>
                <c:ptCount val="2"/>
                <c:pt idx="0">
                  <c:v>Gel 4</c:v>
                </c:pt>
                <c:pt idx="1">
                  <c:v>Gel 3</c:v>
                </c:pt>
              </c:strCache>
            </c:strRef>
          </c:cat>
          <c:val>
            <c:numRef>
              <c:f>'Geles 3-4 - K10'!$B$18:$B$19</c:f>
              <c:numCache>
                <c:formatCode>0.00</c:formatCode>
                <c:ptCount val="2"/>
                <c:pt idx="0">
                  <c:v>13.0097087378641</c:v>
                </c:pt>
                <c:pt idx="1">
                  <c:v>17.1428571428571</c:v>
                </c:pt>
              </c:numCache>
            </c:numRef>
          </c:val>
        </c:ser>
        <c:ser>
          <c:idx val="1"/>
          <c:order val="1"/>
          <c:tx>
            <c:strRef>
              <c:f>"mut1"</c:f>
              <c:strCache>
                <c:ptCount val="1"/>
                <c:pt idx="0">
                  <c:v>mut1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'Geles 3-4 - K10'!$A$18:$A$19</c:f>
              <c:strCache>
                <c:ptCount val="2"/>
                <c:pt idx="0">
                  <c:v>Gel 4</c:v>
                </c:pt>
                <c:pt idx="1">
                  <c:v>Gel 3</c:v>
                </c:pt>
              </c:strCache>
            </c:strRef>
          </c:cat>
          <c:val>
            <c:numRef>
              <c:f>'Geles 3-4 - K10'!$C$18:$C$19</c:f>
              <c:numCache>
                <c:formatCode>0.00</c:formatCode>
                <c:ptCount val="2"/>
                <c:pt idx="0">
                  <c:v>30.5839416058394</c:v>
                </c:pt>
                <c:pt idx="1">
                  <c:v>20.9947643979058</c:v>
                </c:pt>
              </c:numCache>
            </c:numRef>
          </c:val>
        </c:ser>
        <c:gapWidth val="60"/>
        <c:overlap val="-15"/>
        <c:axId val="14311672"/>
        <c:axId val="6062576"/>
      </c:barChart>
      <c:catAx>
        <c:axId val="1431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2576"/>
        <c:crosses val="autoZero"/>
        <c:auto val="1"/>
        <c:lblAlgn val="ctr"/>
        <c:lblOffset val="100"/>
        <c:noMultiLvlLbl val="0"/>
      </c:catAx>
      <c:valAx>
        <c:axId val="60625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Señal normalizada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11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anti-K10 — señal / vinculina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"wt3"</c:f>
              <c:strCache>
                <c:ptCount val="1"/>
                <c:pt idx="0">
                  <c:v>wt3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'Geles 3-4 - K10'!$A$26:$A$27</c:f>
              <c:strCache>
                <c:ptCount val="2"/>
                <c:pt idx="0">
                  <c:v>Gel 4</c:v>
                </c:pt>
                <c:pt idx="1">
                  <c:v>Gel 3</c:v>
                </c:pt>
              </c:strCache>
            </c:strRef>
          </c:cat>
          <c:val>
            <c:numRef>
              <c:f>'Geles 3-4 - K10'!$B$26:$B$27</c:f>
              <c:numCache>
                <c:formatCode>0.00</c:formatCode>
                <c:ptCount val="2"/>
                <c:pt idx="0">
                  <c:v>2.98425196850394</c:v>
                </c:pt>
                <c:pt idx="1">
                  <c:v>3.58479532163743</c:v>
                </c:pt>
              </c:numCache>
            </c:numRef>
          </c:val>
        </c:ser>
        <c:ser>
          <c:idx val="1"/>
          <c:order val="1"/>
          <c:tx>
            <c:strRef>
              <c:f>"mut1"</c:f>
              <c:strCache>
                <c:ptCount val="1"/>
                <c:pt idx="0">
                  <c:v>mut1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'Geles 3-4 - K10'!$A$26:$A$27</c:f>
              <c:strCache>
                <c:ptCount val="2"/>
                <c:pt idx="0">
                  <c:v>Gel 4</c:v>
                </c:pt>
                <c:pt idx="1">
                  <c:v>Gel 3</c:v>
                </c:pt>
              </c:strCache>
            </c:strRef>
          </c:cat>
          <c:val>
            <c:numRef>
              <c:f>'Geles 3-4 - K10'!$C$26:$C$27</c:f>
              <c:numCache>
                <c:formatCode>0.00</c:formatCode>
                <c:ptCount val="2"/>
                <c:pt idx="0">
                  <c:v>4.23456790123457</c:v>
                </c:pt>
                <c:pt idx="1">
                  <c:v>4.37765957446809</c:v>
                </c:pt>
              </c:numCache>
            </c:numRef>
          </c:val>
        </c:ser>
        <c:gapWidth val="60"/>
        <c:overlap val="-15"/>
        <c:axId val="61846827"/>
        <c:axId val="2804523"/>
      </c:barChart>
      <c:catAx>
        <c:axId val="618468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4523"/>
        <c:crosses val="autoZero"/>
        <c:auto val="1"/>
        <c:lblAlgn val="ctr"/>
        <c:lblOffset val="100"/>
        <c:noMultiLvlLbl val="0"/>
      </c:catAx>
      <c:valAx>
        <c:axId val="28045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Señal normalizada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468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K1 normalizado por vinculina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"K1 / vinculina"</c:f>
              <c:strCache>
                <c:ptCount val="1"/>
                <c:pt idx="0">
                  <c:v>K1 / vinculina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'Gel 2 - K1'!$B$6:$B$12</c:f>
              <c:strCache>
                <c:ptCount val="7"/>
                <c:pt idx="0">
                  <c:v>KerCT WT</c:v>
                </c:pt>
                <c:pt idx="1">
                  <c:v>K1 WT</c:v>
                </c:pt>
                <c:pt idx="2">
                  <c:v>K1 mut</c:v>
                </c:pt>
                <c:pt idx="3">
                  <c:v>KerCT + K10</c:v>
                </c:pt>
                <c:pt idx="4">
                  <c:v>K1 WT + K10</c:v>
                </c:pt>
                <c:pt idx="5">
                  <c:v>K1 mut + K10</c:v>
                </c:pt>
                <c:pt idx="6">
                  <c:v>K10 wt3</c:v>
                </c:pt>
              </c:strCache>
            </c:strRef>
          </c:cat>
          <c:val>
            <c:numRef>
              <c:f>'Gel 2 - K1'!$G$6:$G$12</c:f>
              <c:numCache>
                <c:formatCode>0.000</c:formatCode>
                <c:ptCount val="7"/>
                <c:pt idx="0">
                  <c:v>3.01418439716312</c:v>
                </c:pt>
                <c:pt idx="1">
                  <c:v>0.0114285714285714</c:v>
                </c:pt>
                <c:pt idx="2">
                  <c:v>0.0477511961722488</c:v>
                </c:pt>
                <c:pt idx="3">
                  <c:v>0.925925925925926</c:v>
                </c:pt>
                <c:pt idx="4">
                  <c:v>0.834645669291339</c:v>
                </c:pt>
                <c:pt idx="5">
                  <c:v>0.455862068965517</c:v>
                </c:pt>
                <c:pt idx="6">
                  <c:v>0.315481171548117</c:v>
                </c:pt>
              </c:numCache>
            </c:numRef>
          </c:val>
        </c:ser>
        <c:gapWidth val="45"/>
        <c:overlap val="0"/>
        <c:axId val="28222138"/>
        <c:axId val="88632172"/>
      </c:barChart>
      <c:catAx>
        <c:axId val="28222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32172"/>
        <c:crosses val="autoZero"/>
        <c:auto val="1"/>
        <c:lblAlgn val="ctr"/>
        <c:lblOffset val="100"/>
        <c:noMultiLvlLbl val="0"/>
      </c:catAx>
      <c:valAx>
        <c:axId val="886321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K1 / vinculina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22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16</xdr:col>
      <xdr:colOff>399240</xdr:colOff>
      <xdr:row>19</xdr:row>
      <xdr:rowOff>21960</xdr:rowOff>
    </xdr:to>
    <xdr:graphicFrame>
      <xdr:nvGraphicFramePr>
        <xdr:cNvPr id="0" name="Chart 1"/>
        <xdr:cNvGraphicFramePr/>
      </xdr:nvGraphicFramePr>
      <xdr:xfrm>
        <a:off x="8364960" y="76212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10080</xdr:rowOff>
    </xdr:from>
    <xdr:to>
      <xdr:col>16</xdr:col>
      <xdr:colOff>399240</xdr:colOff>
      <xdr:row>37</xdr:row>
      <xdr:rowOff>61920</xdr:rowOff>
    </xdr:to>
    <xdr:graphicFrame>
      <xdr:nvGraphicFramePr>
        <xdr:cNvPr id="1" name="Chart 2"/>
        <xdr:cNvGraphicFramePr/>
      </xdr:nvGraphicFramePr>
      <xdr:xfrm>
        <a:off x="8364960" y="438156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19</xdr:col>
      <xdr:colOff>364680</xdr:colOff>
      <xdr:row>20</xdr:row>
      <xdr:rowOff>41040</xdr:rowOff>
    </xdr:to>
    <xdr:graphicFrame>
      <xdr:nvGraphicFramePr>
        <xdr:cNvPr id="2" name="Chart 1"/>
        <xdr:cNvGraphicFramePr/>
      </xdr:nvGraphicFramePr>
      <xdr:xfrm>
        <a:off x="7871400" y="76212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  <c r="C2" s="3"/>
    </row>
    <row r="3" customFormat="false" ht="15" hidden="false" customHeight="false" outlineLevel="0" collapsed="false">
      <c r="A3" s="4" t="s">
        <v>1</v>
      </c>
      <c r="B3" s="3"/>
      <c r="C3" s="3"/>
    </row>
    <row r="4" customFormat="false" ht="15" hidden="false" customHeight="false" outlineLevel="0" collapsed="false">
      <c r="A4" s="5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5" t="s">
        <v>5</v>
      </c>
      <c r="B5" s="3" t="s">
        <v>6</v>
      </c>
      <c r="C5" s="3" t="s">
        <v>7</v>
      </c>
    </row>
    <row r="6" customFormat="false" ht="15" hidden="false" customHeight="false" outlineLevel="0" collapsed="false">
      <c r="A6" s="5" t="s">
        <v>8</v>
      </c>
      <c r="B6" s="3" t="s">
        <v>9</v>
      </c>
      <c r="C6" s="3" t="s">
        <v>10</v>
      </c>
    </row>
    <row r="7" customFormat="false" ht="15" hidden="false" customHeight="false" outlineLevel="0" collapsed="false">
      <c r="A7" s="5" t="s">
        <v>11</v>
      </c>
      <c r="B7" s="3" t="s">
        <v>12</v>
      </c>
      <c r="C7" s="3" t="s">
        <v>10</v>
      </c>
    </row>
    <row r="8" customFormat="false" ht="15" hidden="false" customHeight="false" outlineLevel="0" collapsed="false">
      <c r="A8" s="2"/>
      <c r="B8" s="3"/>
      <c r="C8" s="3"/>
    </row>
    <row r="9" customFormat="false" ht="15" hidden="false" customHeight="false" outlineLevel="0" collapsed="false">
      <c r="A9" s="2" t="s">
        <v>13</v>
      </c>
      <c r="B9" s="3"/>
      <c r="C9" s="3"/>
    </row>
    <row r="10" customFormat="false" ht="15" hidden="false" customHeight="false" outlineLevel="0" collapsed="false">
      <c r="A10" s="2" t="s">
        <v>14</v>
      </c>
      <c r="B10" s="3"/>
      <c r="C10" s="3"/>
    </row>
    <row r="11" customFormat="false" ht="15" hidden="false" customHeight="false" outlineLevel="0" collapsed="false">
      <c r="A11" s="2" t="s">
        <v>15</v>
      </c>
      <c r="B11" s="3"/>
      <c r="C11" s="3"/>
    </row>
    <row r="12" customFormat="false" ht="15" hidden="false" customHeight="false" outlineLevel="0" collapsed="false">
      <c r="A12" s="2"/>
      <c r="B12" s="3"/>
      <c r="C12" s="3"/>
    </row>
    <row r="13" customFormat="false" ht="15" hidden="false" customHeight="false" outlineLevel="0" collapsed="false">
      <c r="A13" s="4" t="s">
        <v>16</v>
      </c>
      <c r="B13" s="3"/>
      <c r="C13" s="3"/>
    </row>
    <row r="14" customFormat="false" ht="15" hidden="false" customHeight="false" outlineLevel="0" collapsed="false">
      <c r="A14" s="2" t="s">
        <v>17</v>
      </c>
      <c r="B14" s="3"/>
      <c r="C14" s="3"/>
    </row>
    <row r="15" customFormat="false" ht="15" hidden="false" customHeight="false" outlineLevel="0" collapsed="false">
      <c r="A15" s="2" t="s">
        <v>18</v>
      </c>
      <c r="B15" s="3" t="s">
        <v>19</v>
      </c>
      <c r="C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  <c r="C16" s="3" t="s">
        <v>23</v>
      </c>
    </row>
    <row r="17" customFormat="false" ht="15" hidden="false" customHeight="false" outlineLevel="0" collapsed="false">
      <c r="A17" s="2" t="s">
        <v>24</v>
      </c>
      <c r="B17" s="3"/>
      <c r="C17" s="3"/>
    </row>
    <row r="18" customFormat="false" ht="15" hidden="false" customHeight="false" outlineLevel="0" collapsed="false">
      <c r="A18" s="2"/>
      <c r="B18" s="3"/>
      <c r="C18" s="3"/>
    </row>
    <row r="19" customFormat="false" ht="15" hidden="false" customHeight="false" outlineLevel="0" collapsed="false">
      <c r="A19" s="4" t="s">
        <v>25</v>
      </c>
      <c r="B19" s="3"/>
      <c r="C19" s="3"/>
    </row>
    <row r="20" customFormat="false" ht="15" hidden="false" customHeight="false" outlineLevel="0" collapsed="false">
      <c r="A20" s="2" t="s">
        <v>26</v>
      </c>
      <c r="B20" s="3"/>
      <c r="C20" s="3"/>
    </row>
    <row r="21" customFormat="false" ht="15" hidden="false" customHeight="false" outlineLevel="0" collapsed="false">
      <c r="A21" s="2" t="s">
        <v>27</v>
      </c>
      <c r="B21" s="3"/>
      <c r="C21" s="3"/>
    </row>
    <row r="22" customFormat="false" ht="15" hidden="false" customHeight="false" outlineLevel="0" collapsed="false">
      <c r="A22" s="2" t="s">
        <v>28</v>
      </c>
      <c r="B22" s="3"/>
      <c r="C22" s="3"/>
    </row>
    <row r="23" customFormat="false" ht="15" hidden="false" customHeight="false" outlineLevel="0" collapsed="false">
      <c r="A23" s="2"/>
      <c r="B23" s="3"/>
      <c r="C23" s="3"/>
    </row>
    <row r="24" customFormat="false" ht="15" hidden="false" customHeight="false" outlineLevel="0" collapsed="false">
      <c r="A24" s="4" t="s">
        <v>29</v>
      </c>
      <c r="B24" s="3"/>
      <c r="C24" s="3"/>
    </row>
    <row r="25" customFormat="false" ht="15" hidden="false" customHeight="false" outlineLevel="0" collapsed="false">
      <c r="A25" s="2" t="s">
        <v>30</v>
      </c>
      <c r="B25" s="3"/>
      <c r="C25" s="3"/>
    </row>
    <row r="26" customFormat="false" ht="15" hidden="false" customHeight="false" outlineLevel="0" collapsed="false">
      <c r="A26" s="2" t="s">
        <v>31</v>
      </c>
      <c r="B26" s="3"/>
      <c r="C26" s="3"/>
    </row>
    <row r="27" customFormat="false" ht="15" hidden="false" customHeight="false" outlineLevel="0" collapsed="false">
      <c r="A27" s="2" t="s">
        <v>32</v>
      </c>
      <c r="B27" s="3"/>
      <c r="C27" s="3"/>
    </row>
    <row r="28" customFormat="false" ht="15" hidden="false" customHeight="false" outlineLevel="0" collapsed="false">
      <c r="A28" s="2"/>
      <c r="B28" s="3"/>
      <c r="C28" s="3"/>
    </row>
    <row r="29" customFormat="false" ht="15" hidden="false" customHeight="false" outlineLevel="0" collapsed="false">
      <c r="A29" s="4" t="s">
        <v>33</v>
      </c>
      <c r="B29" s="3"/>
      <c r="C29" s="3"/>
    </row>
    <row r="30" customFormat="false" ht="15" hidden="false" customHeight="false" outlineLevel="0" collapsed="false">
      <c r="A30" s="2" t="s">
        <v>34</v>
      </c>
      <c r="B30" s="3" t="s">
        <v>35</v>
      </c>
      <c r="C30" s="3" t="s">
        <v>36</v>
      </c>
    </row>
    <row r="31" customFormat="false" ht="15" hidden="false" customHeight="false" outlineLevel="0" collapsed="false">
      <c r="A31" s="2" t="s">
        <v>37</v>
      </c>
      <c r="B31" s="3" t="s">
        <v>38</v>
      </c>
      <c r="C31" s="3" t="s">
        <v>39</v>
      </c>
    </row>
    <row r="32" customFormat="false" ht="15" hidden="false" customHeight="false" outlineLevel="0" collapsed="false">
      <c r="A32" s="2" t="s">
        <v>40</v>
      </c>
      <c r="B32" s="3" t="s">
        <v>41</v>
      </c>
      <c r="C32" s="3" t="s">
        <v>42</v>
      </c>
    </row>
    <row r="33" customFormat="false" ht="15" hidden="false" customHeight="false" outlineLevel="0" collapsed="false">
      <c r="A33" s="2" t="s">
        <v>43</v>
      </c>
      <c r="B33" s="3" t="s">
        <v>44</v>
      </c>
      <c r="C33" s="3" t="s">
        <v>45</v>
      </c>
    </row>
    <row r="34" customFormat="false" ht="15" hidden="false" customHeight="false" outlineLevel="0" collapsed="false">
      <c r="A34" s="2"/>
      <c r="B34" s="3"/>
      <c r="C34" s="3" t="s">
        <v>46</v>
      </c>
    </row>
    <row r="35" customFormat="false" ht="15" hidden="false" customHeight="false" outlineLevel="0" collapsed="false">
      <c r="A35" s="2" t="s">
        <v>47</v>
      </c>
      <c r="B35" s="3" t="s">
        <v>48</v>
      </c>
      <c r="C35" s="3" t="s">
        <v>49</v>
      </c>
    </row>
    <row r="36" customFormat="false" ht="15" hidden="false" customHeight="false" outlineLevel="0" collapsed="false">
      <c r="A36" s="2" t="s">
        <v>50</v>
      </c>
      <c r="B36" s="3" t="s">
        <v>51</v>
      </c>
      <c r="C36" s="3" t="s">
        <v>52</v>
      </c>
    </row>
    <row r="37" customFormat="false" ht="15" hidden="false" customHeight="false" outlineLevel="0" collapsed="false">
      <c r="A37" s="2"/>
      <c r="B37" s="3"/>
      <c r="C37" s="3" t="s">
        <v>53</v>
      </c>
    </row>
    <row r="38" customFormat="false" ht="15" hidden="false" customHeight="false" outlineLevel="0" collapsed="false">
      <c r="A38" s="2" t="s">
        <v>54</v>
      </c>
      <c r="B38" s="3" t="s">
        <v>55</v>
      </c>
      <c r="C38" s="3" t="s">
        <v>56</v>
      </c>
    </row>
    <row r="39" customFormat="false" ht="15" hidden="false" customHeight="false" outlineLevel="0" collapsed="false">
      <c r="A39" s="2" t="s">
        <v>57</v>
      </c>
      <c r="B39" s="3" t="s">
        <v>58</v>
      </c>
      <c r="C39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6" t="s">
        <v>61</v>
      </c>
    </row>
    <row r="4" customFormat="false" ht="15" hidden="false" customHeight="false" outlineLevel="0" collapsed="false">
      <c r="A4" s="7" t="s">
        <v>62</v>
      </c>
    </row>
    <row r="5" customFormat="false" ht="26.85" hidden="false" customHeight="false" outlineLevel="0" collapsed="false">
      <c r="A5" s="8" t="s">
        <v>63</v>
      </c>
      <c r="B5" s="8" t="s">
        <v>64</v>
      </c>
      <c r="C5" s="8" t="s">
        <v>65</v>
      </c>
      <c r="D5" s="8" t="s">
        <v>66</v>
      </c>
      <c r="E5" s="8" t="s">
        <v>67</v>
      </c>
      <c r="F5" s="8" t="s">
        <v>68</v>
      </c>
      <c r="G5" s="8" t="s">
        <v>69</v>
      </c>
      <c r="H5" s="8" t="s">
        <v>70</v>
      </c>
    </row>
    <row r="6" customFormat="false" ht="15" hidden="false" customHeight="false" outlineLevel="0" collapsed="false">
      <c r="A6" s="9" t="s">
        <v>11</v>
      </c>
      <c r="B6" s="9" t="s">
        <v>71</v>
      </c>
      <c r="C6" s="9" t="s">
        <v>72</v>
      </c>
      <c r="D6" s="10" t="n">
        <v>3</v>
      </c>
      <c r="E6" s="11" t="n">
        <v>13400</v>
      </c>
      <c r="F6" s="10" t="n">
        <v>5</v>
      </c>
      <c r="G6" s="11" t="n">
        <v>1030</v>
      </c>
      <c r="H6" s="12" t="n">
        <f aca="false">E6/G6</f>
        <v>13.0097087378641</v>
      </c>
    </row>
    <row r="7" customFormat="false" ht="15" hidden="false" customHeight="false" outlineLevel="0" collapsed="false">
      <c r="A7" s="13" t="s">
        <v>11</v>
      </c>
      <c r="B7" s="13" t="s">
        <v>71</v>
      </c>
      <c r="C7" s="13" t="s">
        <v>73</v>
      </c>
      <c r="D7" s="14" t="n">
        <v>1</v>
      </c>
      <c r="E7" s="15" t="n">
        <v>41900</v>
      </c>
      <c r="F7" s="14" t="n">
        <v>6</v>
      </c>
      <c r="G7" s="16" t="n">
        <v>1370</v>
      </c>
      <c r="H7" s="17" t="n">
        <f aca="false">E7/G7</f>
        <v>30.5839416058394</v>
      </c>
    </row>
    <row r="8" customFormat="false" ht="15" hidden="false" customHeight="false" outlineLevel="0" collapsed="false">
      <c r="A8" s="9" t="s">
        <v>8</v>
      </c>
      <c r="B8" s="9" t="s">
        <v>71</v>
      </c>
      <c r="C8" s="9" t="s">
        <v>72</v>
      </c>
      <c r="D8" s="10" t="n">
        <v>9</v>
      </c>
      <c r="E8" s="11" t="n">
        <v>19200</v>
      </c>
      <c r="F8" s="10" t="n">
        <v>7</v>
      </c>
      <c r="G8" s="11" t="n">
        <v>1120</v>
      </c>
      <c r="H8" s="12" t="n">
        <f aca="false">E8/G8</f>
        <v>17.1428571428571</v>
      </c>
    </row>
    <row r="9" customFormat="false" ht="15" hidden="false" customHeight="false" outlineLevel="0" collapsed="false">
      <c r="A9" s="13" t="s">
        <v>8</v>
      </c>
      <c r="B9" s="13" t="s">
        <v>71</v>
      </c>
      <c r="C9" s="13" t="s">
        <v>73</v>
      </c>
      <c r="D9" s="14" t="n">
        <v>10</v>
      </c>
      <c r="E9" s="16" t="n">
        <v>40100</v>
      </c>
      <c r="F9" s="14" t="n">
        <v>8</v>
      </c>
      <c r="G9" s="16" t="n">
        <v>1910</v>
      </c>
      <c r="H9" s="17" t="n">
        <f aca="false">E9/G9</f>
        <v>20.9947643979058</v>
      </c>
    </row>
    <row r="10" customFormat="false" ht="15" hidden="false" customHeight="false" outlineLevel="0" collapsed="false">
      <c r="A10" s="9" t="s">
        <v>11</v>
      </c>
      <c r="B10" s="9" t="s">
        <v>74</v>
      </c>
      <c r="C10" s="9" t="s">
        <v>72</v>
      </c>
      <c r="D10" s="10" t="n">
        <v>11</v>
      </c>
      <c r="E10" s="11" t="n">
        <v>3790</v>
      </c>
      <c r="F10" s="10" t="n">
        <v>14</v>
      </c>
      <c r="G10" s="11" t="n">
        <v>1270</v>
      </c>
      <c r="H10" s="12" t="n">
        <f aca="false">E10/G10</f>
        <v>2.98425196850394</v>
      </c>
    </row>
    <row r="11" customFormat="false" ht="15" hidden="false" customHeight="false" outlineLevel="0" collapsed="false">
      <c r="A11" s="13" t="s">
        <v>11</v>
      </c>
      <c r="B11" s="13" t="s">
        <v>74</v>
      </c>
      <c r="C11" s="13" t="s">
        <v>73</v>
      </c>
      <c r="D11" s="14" t="n">
        <v>12</v>
      </c>
      <c r="E11" s="16" t="n">
        <v>6860</v>
      </c>
      <c r="F11" s="14" t="n">
        <v>13</v>
      </c>
      <c r="G11" s="16" t="n">
        <v>1620</v>
      </c>
      <c r="H11" s="17" t="n">
        <f aca="false">E11/G11</f>
        <v>4.23456790123457</v>
      </c>
    </row>
    <row r="12" customFormat="false" ht="15" hidden="false" customHeight="false" outlineLevel="0" collapsed="false">
      <c r="A12" s="9" t="s">
        <v>8</v>
      </c>
      <c r="B12" s="9" t="s">
        <v>74</v>
      </c>
      <c r="C12" s="9" t="s">
        <v>72</v>
      </c>
      <c r="D12" s="10" t="n">
        <v>17</v>
      </c>
      <c r="E12" s="11" t="n">
        <v>6130</v>
      </c>
      <c r="F12" s="10" t="n">
        <v>16</v>
      </c>
      <c r="G12" s="11" t="n">
        <v>1710</v>
      </c>
      <c r="H12" s="12" t="n">
        <f aca="false">E12/G12</f>
        <v>3.58479532163743</v>
      </c>
    </row>
    <row r="13" customFormat="false" ht="15" hidden="false" customHeight="false" outlineLevel="0" collapsed="false">
      <c r="A13" s="13" t="s">
        <v>8</v>
      </c>
      <c r="B13" s="13" t="s">
        <v>74</v>
      </c>
      <c r="C13" s="13" t="s">
        <v>73</v>
      </c>
      <c r="D13" s="14" t="n">
        <v>18</v>
      </c>
      <c r="E13" s="16" t="n">
        <v>8230</v>
      </c>
      <c r="F13" s="14" t="n">
        <v>15</v>
      </c>
      <c r="G13" s="16" t="n">
        <v>1880</v>
      </c>
      <c r="H13" s="17" t="n">
        <f aca="false">E13/G13</f>
        <v>4.37765957446809</v>
      </c>
    </row>
    <row r="16" customFormat="false" ht="15" hidden="false" customHeight="false" outlineLevel="0" collapsed="false">
      <c r="A16" s="7" t="s">
        <v>75</v>
      </c>
    </row>
    <row r="17" customFormat="false" ht="15" hidden="false" customHeight="false" outlineLevel="0" collapsed="false">
      <c r="A17" s="8" t="s">
        <v>76</v>
      </c>
      <c r="B17" s="8" t="s">
        <v>72</v>
      </c>
      <c r="C17" s="8" t="s">
        <v>73</v>
      </c>
      <c r="D17" s="8" t="s">
        <v>77</v>
      </c>
    </row>
    <row r="18" customFormat="false" ht="15" hidden="false" customHeight="false" outlineLevel="0" collapsed="false">
      <c r="A18" s="9" t="s">
        <v>11</v>
      </c>
      <c r="B18" s="12" t="n">
        <f aca="false">H6</f>
        <v>13.0097087378641</v>
      </c>
      <c r="C18" s="12" t="n">
        <f aca="false">H7</f>
        <v>30.5839416058394</v>
      </c>
      <c r="D18" s="18" t="n">
        <f aca="false">C18/B18</f>
        <v>2.35085521298616</v>
      </c>
    </row>
    <row r="19" customFormat="false" ht="15" hidden="false" customHeight="false" outlineLevel="0" collapsed="false">
      <c r="A19" s="9" t="s">
        <v>8</v>
      </c>
      <c r="B19" s="12" t="n">
        <f aca="false">H8</f>
        <v>17.1428571428571</v>
      </c>
      <c r="C19" s="12" t="n">
        <f aca="false">H9</f>
        <v>20.9947643979058</v>
      </c>
      <c r="D19" s="18" t="n">
        <f aca="false">C19/B19</f>
        <v>1.22469458987784</v>
      </c>
    </row>
    <row r="20" customFormat="false" ht="15" hidden="false" customHeight="false" outlineLevel="0" collapsed="false">
      <c r="A20" s="19" t="s">
        <v>78</v>
      </c>
      <c r="B20" s="20" t="n">
        <f aca="false">AVERAGE(B18:B19)</f>
        <v>15.0762829403606</v>
      </c>
      <c r="C20" s="20" t="n">
        <f aca="false">AVERAGE(C18:C19)</f>
        <v>25.7893530018726</v>
      </c>
      <c r="D20" s="21" t="n">
        <f aca="false">AVERAGE(D18:D19)</f>
        <v>1.787774901432</v>
      </c>
    </row>
    <row r="21" customFormat="false" ht="15" hidden="false" customHeight="false" outlineLevel="0" collapsed="false">
      <c r="A21" s="6" t="s">
        <v>79</v>
      </c>
    </row>
    <row r="24" customFormat="false" ht="15" hidden="false" customHeight="false" outlineLevel="0" collapsed="false">
      <c r="A24" s="7" t="s">
        <v>80</v>
      </c>
    </row>
    <row r="25" customFormat="false" ht="15" hidden="false" customHeight="false" outlineLevel="0" collapsed="false">
      <c r="A25" s="8" t="s">
        <v>76</v>
      </c>
      <c r="B25" s="8" t="s">
        <v>72</v>
      </c>
      <c r="C25" s="8" t="s">
        <v>73</v>
      </c>
      <c r="D25" s="8" t="s">
        <v>77</v>
      </c>
    </row>
    <row r="26" customFormat="false" ht="15" hidden="false" customHeight="false" outlineLevel="0" collapsed="false">
      <c r="A26" s="9" t="s">
        <v>11</v>
      </c>
      <c r="B26" s="12" t="n">
        <f aca="false">H10</f>
        <v>2.98425196850394</v>
      </c>
      <c r="C26" s="12" t="n">
        <f aca="false">H11</f>
        <v>4.23456790123457</v>
      </c>
      <c r="D26" s="18" t="n">
        <f aca="false">C26/B26</f>
        <v>1.41897130199681</v>
      </c>
    </row>
    <row r="27" customFormat="false" ht="15" hidden="false" customHeight="false" outlineLevel="0" collapsed="false">
      <c r="A27" s="9" t="s">
        <v>8</v>
      </c>
      <c r="B27" s="12" t="n">
        <f aca="false">H12</f>
        <v>3.58479532163743</v>
      </c>
      <c r="C27" s="12" t="n">
        <f aca="false">H13</f>
        <v>4.37765957446809</v>
      </c>
      <c r="D27" s="18" t="n">
        <f aca="false">C27/B27</f>
        <v>1.22117420429697</v>
      </c>
    </row>
    <row r="28" customFormat="false" ht="15" hidden="false" customHeight="false" outlineLevel="0" collapsed="false">
      <c r="A28" s="19" t="s">
        <v>78</v>
      </c>
      <c r="B28" s="20" t="n">
        <f aca="false">AVERAGE(B26:B27)</f>
        <v>3.28452364507068</v>
      </c>
      <c r="C28" s="20" t="n">
        <f aca="false">AVERAGE(C26:C27)</f>
        <v>4.30611373785133</v>
      </c>
      <c r="D28" s="21" t="n">
        <f aca="false">AVERAGE(D26:D27)</f>
        <v>1.32007275314689</v>
      </c>
    </row>
    <row r="29" customFormat="false" ht="15" hidden="false" customHeight="false" outlineLevel="0" collapsed="false">
      <c r="A29" s="6" t="s">
        <v>81</v>
      </c>
    </row>
    <row r="32" customFormat="false" ht="15" hidden="false" customHeight="false" outlineLevel="0" collapsed="false">
      <c r="A32" s="7" t="s">
        <v>82</v>
      </c>
    </row>
    <row r="33" customFormat="false" ht="26.85" hidden="false" customHeight="false" outlineLevel="0" collapsed="false">
      <c r="A33" s="8" t="s">
        <v>76</v>
      </c>
      <c r="B33" s="8" t="s">
        <v>64</v>
      </c>
      <c r="C33" s="8" t="s">
        <v>83</v>
      </c>
      <c r="D33" s="8" t="s">
        <v>84</v>
      </c>
      <c r="E33" s="8" t="s">
        <v>77</v>
      </c>
    </row>
    <row r="34" customFormat="false" ht="15" hidden="false" customHeight="false" outlineLevel="0" collapsed="false">
      <c r="A34" s="9" t="s">
        <v>11</v>
      </c>
      <c r="B34" s="9" t="s">
        <v>71</v>
      </c>
      <c r="C34" s="11" t="n">
        <f aca="false">G6</f>
        <v>1030</v>
      </c>
      <c r="D34" s="11" t="n">
        <f aca="false">G7</f>
        <v>1370</v>
      </c>
      <c r="E34" s="18" t="n">
        <f aca="false">D34/C34</f>
        <v>1.33009708737864</v>
      </c>
    </row>
    <row r="35" customFormat="false" ht="15" hidden="false" customHeight="false" outlineLevel="0" collapsed="false">
      <c r="A35" s="9" t="s">
        <v>8</v>
      </c>
      <c r="B35" s="9" t="s">
        <v>71</v>
      </c>
      <c r="C35" s="11" t="n">
        <f aca="false">G8</f>
        <v>1120</v>
      </c>
      <c r="D35" s="11" t="n">
        <f aca="false">G9</f>
        <v>1910</v>
      </c>
      <c r="E35" s="18" t="n">
        <f aca="false">D35/C35</f>
        <v>1.70535714285714</v>
      </c>
    </row>
    <row r="36" customFormat="false" ht="15" hidden="false" customHeight="false" outlineLevel="0" collapsed="false">
      <c r="A36" s="9" t="s">
        <v>11</v>
      </c>
      <c r="B36" s="9" t="s">
        <v>74</v>
      </c>
      <c r="C36" s="11" t="n">
        <f aca="false">G10</f>
        <v>1270</v>
      </c>
      <c r="D36" s="11" t="n">
        <f aca="false">G11</f>
        <v>1620</v>
      </c>
      <c r="E36" s="18" t="n">
        <f aca="false">D36/C36</f>
        <v>1.2755905511811</v>
      </c>
    </row>
    <row r="37" customFormat="false" ht="15" hidden="false" customHeight="false" outlineLevel="0" collapsed="false">
      <c r="A37" s="9" t="s">
        <v>8</v>
      </c>
      <c r="B37" s="9" t="s">
        <v>74</v>
      </c>
      <c r="C37" s="11" t="n">
        <f aca="false">G12</f>
        <v>1710</v>
      </c>
      <c r="D37" s="11" t="n">
        <f aca="false">G13</f>
        <v>1880</v>
      </c>
      <c r="E37" s="18" t="n">
        <f aca="false">D37/C37</f>
        <v>1.09941520467836</v>
      </c>
    </row>
    <row r="38" customFormat="false" ht="15" hidden="false" customHeight="false" outlineLevel="0" collapsed="false">
      <c r="A38" s="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6" t="s">
        <v>87</v>
      </c>
    </row>
    <row r="4" customFormat="false" ht="15" hidden="false" customHeight="false" outlineLevel="0" collapsed="false">
      <c r="A4" s="7" t="s">
        <v>88</v>
      </c>
    </row>
    <row r="5" customFormat="false" ht="26.85" hidden="false" customHeight="false" outlineLevel="0" collapsed="false">
      <c r="A5" s="8" t="s">
        <v>89</v>
      </c>
      <c r="B5" s="8" t="s">
        <v>90</v>
      </c>
      <c r="C5" s="8" t="s">
        <v>91</v>
      </c>
      <c r="D5" s="8" t="s">
        <v>92</v>
      </c>
      <c r="E5" s="8" t="s">
        <v>93</v>
      </c>
      <c r="F5" s="8" t="s">
        <v>69</v>
      </c>
      <c r="G5" s="8" t="s">
        <v>94</v>
      </c>
      <c r="H5" s="8" t="s">
        <v>95</v>
      </c>
    </row>
    <row r="6" customFormat="false" ht="15" hidden="false" customHeight="false" outlineLevel="0" collapsed="false">
      <c r="A6" s="10" t="n">
        <v>2</v>
      </c>
      <c r="B6" s="22" t="s">
        <v>96</v>
      </c>
      <c r="C6" s="10" t="n">
        <v>22</v>
      </c>
      <c r="D6" s="23" t="n">
        <v>8500</v>
      </c>
      <c r="E6" s="10" t="n">
        <v>33</v>
      </c>
      <c r="F6" s="11" t="n">
        <v>2820</v>
      </c>
      <c r="G6" s="24" t="n">
        <f aca="false">D6/F6</f>
        <v>3.01418439716312</v>
      </c>
      <c r="H6" s="25" t="n">
        <f aca="false">G6/$G$6</f>
        <v>1</v>
      </c>
    </row>
    <row r="7" customFormat="false" ht="15" hidden="false" customHeight="false" outlineLevel="0" collapsed="false">
      <c r="A7" s="26" t="n">
        <v>3</v>
      </c>
      <c r="B7" s="27" t="s">
        <v>97</v>
      </c>
      <c r="C7" s="26" t="n">
        <v>24</v>
      </c>
      <c r="D7" s="28" t="n">
        <v>16</v>
      </c>
      <c r="E7" s="26" t="n">
        <v>34</v>
      </c>
      <c r="F7" s="29" t="n">
        <v>1400</v>
      </c>
      <c r="G7" s="30" t="n">
        <f aca="false">D7/F7</f>
        <v>0.0114285714285714</v>
      </c>
      <c r="H7" s="31" t="n">
        <f aca="false">G7/$G$6</f>
        <v>0.00379159663865546</v>
      </c>
    </row>
    <row r="8" customFormat="false" ht="15" hidden="false" customHeight="false" outlineLevel="0" collapsed="false">
      <c r="A8" s="26" t="n">
        <v>4</v>
      </c>
      <c r="B8" s="27" t="s">
        <v>98</v>
      </c>
      <c r="C8" s="26" t="n">
        <v>26</v>
      </c>
      <c r="D8" s="28" t="n">
        <v>99.8</v>
      </c>
      <c r="E8" s="26" t="n">
        <v>35</v>
      </c>
      <c r="F8" s="29" t="n">
        <v>2090</v>
      </c>
      <c r="G8" s="30" t="n">
        <f aca="false">D8/F8</f>
        <v>0.0477511961722488</v>
      </c>
      <c r="H8" s="31" t="n">
        <f aca="false">G8/$G$6</f>
        <v>0.0158421615536167</v>
      </c>
    </row>
    <row r="9" customFormat="false" ht="15" hidden="false" customHeight="false" outlineLevel="0" collapsed="false">
      <c r="A9" s="10" t="n">
        <v>5</v>
      </c>
      <c r="B9" s="9" t="s">
        <v>99</v>
      </c>
      <c r="C9" s="10" t="n">
        <v>28</v>
      </c>
      <c r="D9" s="23" t="n">
        <v>2000</v>
      </c>
      <c r="E9" s="10" t="n">
        <v>36</v>
      </c>
      <c r="F9" s="11" t="n">
        <v>2160</v>
      </c>
      <c r="G9" s="24" t="n">
        <f aca="false">D9/F9</f>
        <v>0.925925925925926</v>
      </c>
      <c r="H9" s="25" t="n">
        <f aca="false">G9/$G$6</f>
        <v>0.30718954248366</v>
      </c>
    </row>
    <row r="10" customFormat="false" ht="15" hidden="false" customHeight="false" outlineLevel="0" collapsed="false">
      <c r="A10" s="10" t="n">
        <v>6</v>
      </c>
      <c r="B10" s="9" t="s">
        <v>100</v>
      </c>
      <c r="C10" s="10" t="n">
        <v>30</v>
      </c>
      <c r="D10" s="23" t="n">
        <v>1060</v>
      </c>
      <c r="E10" s="10" t="n">
        <v>37</v>
      </c>
      <c r="F10" s="11" t="n">
        <v>1270</v>
      </c>
      <c r="G10" s="24" t="n">
        <f aca="false">D10/F10</f>
        <v>0.834645669291339</v>
      </c>
      <c r="H10" s="25" t="n">
        <f aca="false">G10/$G$6</f>
        <v>0.276905974988421</v>
      </c>
    </row>
    <row r="11" customFormat="false" ht="15" hidden="false" customHeight="false" outlineLevel="0" collapsed="false">
      <c r="A11" s="10" t="n">
        <v>7</v>
      </c>
      <c r="B11" s="9" t="s">
        <v>101</v>
      </c>
      <c r="C11" s="10" t="n">
        <v>32</v>
      </c>
      <c r="D11" s="23" t="n">
        <v>661</v>
      </c>
      <c r="E11" s="10" t="n">
        <v>38</v>
      </c>
      <c r="F11" s="11" t="n">
        <v>1450</v>
      </c>
      <c r="G11" s="24" t="n">
        <f aca="false">D11/F11</f>
        <v>0.455862068965517</v>
      </c>
      <c r="H11" s="25" t="n">
        <f aca="false">G11/$G$6</f>
        <v>0.151238945233266</v>
      </c>
    </row>
    <row r="12" customFormat="false" ht="15" hidden="false" customHeight="false" outlineLevel="0" collapsed="false">
      <c r="A12" s="10" t="n">
        <v>8</v>
      </c>
      <c r="B12" s="9" t="s">
        <v>102</v>
      </c>
      <c r="C12" s="10" t="n">
        <v>31</v>
      </c>
      <c r="D12" s="23" t="n">
        <v>754</v>
      </c>
      <c r="E12" s="10" t="n">
        <v>39</v>
      </c>
      <c r="F12" s="11" t="n">
        <v>2390</v>
      </c>
      <c r="G12" s="24" t="n">
        <f aca="false">D12/F12</f>
        <v>0.315481171548117</v>
      </c>
      <c r="H12" s="25" t="n">
        <f aca="false">G12/$G$6</f>
        <v>0.104665518090081</v>
      </c>
    </row>
    <row r="14" customFormat="false" ht="15" hidden="false" customHeight="false" outlineLevel="0" collapsed="false">
      <c r="A14" s="6" t="s">
        <v>103</v>
      </c>
    </row>
    <row r="16" customFormat="false" ht="15" hidden="false" customHeight="false" outlineLevel="0" collapsed="false">
      <c r="A16" s="7" t="s">
        <v>104</v>
      </c>
    </row>
    <row r="17" customFormat="false" ht="26.85" hidden="false" customHeight="false" outlineLevel="0" collapsed="false">
      <c r="A17" s="8" t="s">
        <v>105</v>
      </c>
      <c r="B17" s="8" t="s">
        <v>106</v>
      </c>
      <c r="C17" s="8" t="s">
        <v>107</v>
      </c>
      <c r="D17" s="8" t="s">
        <v>108</v>
      </c>
    </row>
    <row r="18" customFormat="false" ht="15" hidden="false" customHeight="false" outlineLevel="0" collapsed="false">
      <c r="A18" s="9" t="s">
        <v>97</v>
      </c>
      <c r="B18" s="24" t="n">
        <f aca="false">G7</f>
        <v>0.0114285714285714</v>
      </c>
      <c r="C18" s="24" t="n">
        <f aca="false">G10</f>
        <v>0.834645669291339</v>
      </c>
      <c r="D18" s="32" t="n">
        <f aca="false">C18/B18</f>
        <v>73.0314960629921</v>
      </c>
    </row>
    <row r="19" customFormat="false" ht="15" hidden="false" customHeight="false" outlineLevel="0" collapsed="false">
      <c r="A19" s="9" t="s">
        <v>98</v>
      </c>
      <c r="B19" s="24" t="n">
        <f aca="false">G8</f>
        <v>0.0477511961722488</v>
      </c>
      <c r="C19" s="24" t="n">
        <f aca="false">G11</f>
        <v>0.455862068965517</v>
      </c>
      <c r="D19" s="32" t="n">
        <f aca="false">C19/B19</f>
        <v>9.54661046230392</v>
      </c>
    </row>
    <row r="20" customFormat="false" ht="15" hidden="false" customHeight="false" outlineLevel="0" collapsed="false">
      <c r="A20" s="6" t="s">
        <v>109</v>
      </c>
    </row>
    <row r="21" customFormat="false" ht="15" hidden="false" customHeight="false" outlineLevel="0" collapsed="false">
      <c r="A21" s="6" t="s">
        <v>110</v>
      </c>
    </row>
    <row r="22" customFormat="false" ht="15" hidden="false" customHeight="false" outlineLevel="0" collapsed="false">
      <c r="A22" s="6" t="s">
        <v>111</v>
      </c>
    </row>
    <row r="24" customFormat="false" ht="15" hidden="false" customHeight="false" outlineLevel="0" collapsed="false">
      <c r="A24" s="7" t="s">
        <v>112</v>
      </c>
    </row>
    <row r="25" customFormat="false" ht="15" hidden="false" customHeight="false" outlineLevel="0" collapsed="false">
      <c r="A25" s="3" t="s">
        <v>113</v>
      </c>
    </row>
    <row r="26" customFormat="false" ht="15" hidden="false" customHeight="false" outlineLevel="0" collapsed="false">
      <c r="A26" s="3" t="s">
        <v>114</v>
      </c>
    </row>
    <row r="27" customFormat="false" ht="15" hidden="false" customHeight="false" outlineLevel="0" collapsed="false">
      <c r="A27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6" t="s">
        <v>117</v>
      </c>
    </row>
    <row r="4" customFormat="false" ht="15" hidden="false" customHeight="false" outlineLevel="0" collapsed="false">
      <c r="A4" s="8" t="s">
        <v>118</v>
      </c>
      <c r="B4" s="8" t="s">
        <v>119</v>
      </c>
      <c r="C4" s="8" t="s">
        <v>63</v>
      </c>
      <c r="D4" s="8" t="s">
        <v>120</v>
      </c>
      <c r="E4" s="8" t="s">
        <v>90</v>
      </c>
      <c r="F4" s="8" t="s">
        <v>67</v>
      </c>
      <c r="G4" s="8" t="s">
        <v>121</v>
      </c>
      <c r="H4" s="8" t="s">
        <v>122</v>
      </c>
      <c r="I4" s="8" t="s">
        <v>123</v>
      </c>
      <c r="J4" s="8" t="s">
        <v>124</v>
      </c>
    </row>
    <row r="5" customFormat="false" ht="15" hidden="false" customHeight="false" outlineLevel="0" collapsed="false">
      <c r="A5" s="10" t="n">
        <v>1</v>
      </c>
      <c r="B5" s="10" t="s">
        <v>125</v>
      </c>
      <c r="C5" s="10" t="s">
        <v>11</v>
      </c>
      <c r="D5" s="9" t="s">
        <v>71</v>
      </c>
      <c r="E5" s="9" t="s">
        <v>126</v>
      </c>
      <c r="F5" s="33" t="n">
        <v>41900</v>
      </c>
      <c r="G5" s="33" t="n">
        <v>44400</v>
      </c>
      <c r="H5" s="33" t="n">
        <v>5704</v>
      </c>
      <c r="I5" s="34" t="n">
        <v>0.437</v>
      </c>
      <c r="J5" s="9" t="s">
        <v>127</v>
      </c>
    </row>
    <row r="6" customFormat="false" ht="15" hidden="false" customHeight="false" outlineLevel="0" collapsed="false">
      <c r="A6" s="10" t="n">
        <v>2</v>
      </c>
      <c r="B6" s="10" t="s">
        <v>128</v>
      </c>
      <c r="C6" s="10" t="s">
        <v>129</v>
      </c>
      <c r="D6" s="9" t="s">
        <v>130</v>
      </c>
      <c r="E6" s="9" t="s">
        <v>131</v>
      </c>
      <c r="F6" s="33" t="n">
        <v>-3.25</v>
      </c>
      <c r="G6" s="33" t="n">
        <v>260</v>
      </c>
      <c r="H6" s="33" t="n">
        <v>6596</v>
      </c>
      <c r="I6" s="34" t="n">
        <v>0.0399</v>
      </c>
      <c r="J6" s="9" t="s">
        <v>132</v>
      </c>
    </row>
    <row r="7" customFormat="false" ht="15" hidden="false" customHeight="false" outlineLevel="0" collapsed="false">
      <c r="A7" s="10" t="n">
        <v>3</v>
      </c>
      <c r="B7" s="10" t="s">
        <v>125</v>
      </c>
      <c r="C7" s="10" t="s">
        <v>11</v>
      </c>
      <c r="D7" s="9" t="s">
        <v>71</v>
      </c>
      <c r="E7" s="9" t="s">
        <v>102</v>
      </c>
      <c r="F7" s="33" t="n">
        <v>13400</v>
      </c>
      <c r="G7" s="33" t="n">
        <v>15400</v>
      </c>
      <c r="H7" s="33" t="n">
        <v>5046</v>
      </c>
      <c r="I7" s="34" t="n">
        <v>0.392</v>
      </c>
      <c r="J7" s="9" t="s">
        <v>133</v>
      </c>
    </row>
    <row r="8" customFormat="false" ht="15" hidden="false" customHeight="false" outlineLevel="0" collapsed="false">
      <c r="A8" s="10" t="n">
        <v>5</v>
      </c>
      <c r="B8" s="10" t="s">
        <v>125</v>
      </c>
      <c r="C8" s="10" t="s">
        <v>11</v>
      </c>
      <c r="D8" s="9" t="s">
        <v>134</v>
      </c>
      <c r="E8" s="9" t="s">
        <v>102</v>
      </c>
      <c r="F8" s="33" t="n">
        <v>1030</v>
      </c>
      <c r="G8" s="33" t="n">
        <v>2050</v>
      </c>
      <c r="H8" s="33" t="n">
        <v>2886</v>
      </c>
      <c r="I8" s="34" t="n">
        <v>0.354</v>
      </c>
      <c r="J8" s="9"/>
    </row>
    <row r="9" customFormat="false" ht="15" hidden="false" customHeight="false" outlineLevel="0" collapsed="false">
      <c r="A9" s="10" t="n">
        <v>6</v>
      </c>
      <c r="B9" s="10" t="s">
        <v>125</v>
      </c>
      <c r="C9" s="10" t="s">
        <v>11</v>
      </c>
      <c r="D9" s="9" t="s">
        <v>134</v>
      </c>
      <c r="E9" s="9" t="s">
        <v>126</v>
      </c>
      <c r="F9" s="33" t="n">
        <v>1370</v>
      </c>
      <c r="G9" s="33" t="n">
        <v>2320</v>
      </c>
      <c r="H9" s="33" t="n">
        <v>2886</v>
      </c>
      <c r="I9" s="34" t="n">
        <v>0.331</v>
      </c>
      <c r="J9" s="9"/>
    </row>
    <row r="10" customFormat="false" ht="15" hidden="false" customHeight="false" outlineLevel="0" collapsed="false">
      <c r="A10" s="10" t="n">
        <v>7</v>
      </c>
      <c r="B10" s="10" t="s">
        <v>125</v>
      </c>
      <c r="C10" s="10" t="s">
        <v>8</v>
      </c>
      <c r="D10" s="9" t="s">
        <v>134</v>
      </c>
      <c r="E10" s="9" t="s">
        <v>102</v>
      </c>
      <c r="F10" s="33" t="n">
        <v>1120</v>
      </c>
      <c r="G10" s="33" t="n">
        <v>2100</v>
      </c>
      <c r="H10" s="33" t="n">
        <v>2886</v>
      </c>
      <c r="I10" s="34" t="n">
        <v>0.341</v>
      </c>
      <c r="J10" s="9"/>
    </row>
    <row r="11" customFormat="false" ht="15" hidden="false" customHeight="false" outlineLevel="0" collapsed="false">
      <c r="A11" s="10" t="n">
        <v>8</v>
      </c>
      <c r="B11" s="10" t="s">
        <v>125</v>
      </c>
      <c r="C11" s="10" t="s">
        <v>8</v>
      </c>
      <c r="D11" s="9" t="s">
        <v>134</v>
      </c>
      <c r="E11" s="9" t="s">
        <v>126</v>
      </c>
      <c r="F11" s="33" t="n">
        <v>1910</v>
      </c>
      <c r="G11" s="33" t="n">
        <v>2990</v>
      </c>
      <c r="H11" s="33" t="n">
        <v>2886</v>
      </c>
      <c r="I11" s="34" t="n">
        <v>0.376</v>
      </c>
      <c r="J11" s="9"/>
    </row>
    <row r="12" customFormat="false" ht="15" hidden="false" customHeight="false" outlineLevel="0" collapsed="false">
      <c r="A12" s="10" t="n">
        <v>9</v>
      </c>
      <c r="B12" s="10" t="s">
        <v>125</v>
      </c>
      <c r="C12" s="10" t="s">
        <v>8</v>
      </c>
      <c r="D12" s="9" t="s">
        <v>71</v>
      </c>
      <c r="E12" s="9" t="s">
        <v>102</v>
      </c>
      <c r="F12" s="33" t="n">
        <v>19200</v>
      </c>
      <c r="G12" s="33" t="n">
        <v>21300</v>
      </c>
      <c r="H12" s="33" t="n">
        <v>5060</v>
      </c>
      <c r="I12" s="34" t="n">
        <v>0.418</v>
      </c>
      <c r="J12" s="9"/>
    </row>
    <row r="13" customFormat="false" ht="15" hidden="false" customHeight="false" outlineLevel="0" collapsed="false">
      <c r="A13" s="10" t="n">
        <v>10</v>
      </c>
      <c r="B13" s="10" t="s">
        <v>125</v>
      </c>
      <c r="C13" s="10" t="s">
        <v>8</v>
      </c>
      <c r="D13" s="9" t="s">
        <v>71</v>
      </c>
      <c r="E13" s="9" t="s">
        <v>126</v>
      </c>
      <c r="F13" s="33" t="n">
        <v>40100</v>
      </c>
      <c r="G13" s="33" t="n">
        <v>42900</v>
      </c>
      <c r="H13" s="33" t="n">
        <v>5400</v>
      </c>
      <c r="I13" s="34" t="n">
        <v>0.508</v>
      </c>
      <c r="J13" s="9"/>
    </row>
    <row r="14" customFormat="false" ht="15" hidden="false" customHeight="false" outlineLevel="0" collapsed="false">
      <c r="A14" s="10" t="n">
        <v>11</v>
      </c>
      <c r="B14" s="10" t="s">
        <v>125</v>
      </c>
      <c r="C14" s="10" t="s">
        <v>11</v>
      </c>
      <c r="D14" s="9" t="s">
        <v>74</v>
      </c>
      <c r="E14" s="9" t="s">
        <v>102</v>
      </c>
      <c r="F14" s="33" t="n">
        <v>3790</v>
      </c>
      <c r="G14" s="33" t="n">
        <v>5140</v>
      </c>
      <c r="H14" s="33" t="n">
        <v>2886</v>
      </c>
      <c r="I14" s="34" t="n">
        <v>0.469</v>
      </c>
      <c r="J14" s="9"/>
    </row>
    <row r="15" customFormat="false" ht="15" hidden="false" customHeight="false" outlineLevel="0" collapsed="false">
      <c r="A15" s="10" t="n">
        <v>12</v>
      </c>
      <c r="B15" s="10" t="s">
        <v>125</v>
      </c>
      <c r="C15" s="10" t="s">
        <v>11</v>
      </c>
      <c r="D15" s="9" t="s">
        <v>74</v>
      </c>
      <c r="E15" s="9" t="s">
        <v>126</v>
      </c>
      <c r="F15" s="33" t="n">
        <v>6860</v>
      </c>
      <c r="G15" s="33" t="n">
        <v>8020</v>
      </c>
      <c r="H15" s="33" t="n">
        <v>2886</v>
      </c>
      <c r="I15" s="34" t="n">
        <v>0.402</v>
      </c>
      <c r="J15" s="9"/>
    </row>
    <row r="16" customFormat="false" ht="15" hidden="false" customHeight="false" outlineLevel="0" collapsed="false">
      <c r="A16" s="10" t="n">
        <v>13</v>
      </c>
      <c r="B16" s="10" t="s">
        <v>125</v>
      </c>
      <c r="C16" s="10" t="s">
        <v>11</v>
      </c>
      <c r="D16" s="9" t="s">
        <v>135</v>
      </c>
      <c r="E16" s="9" t="s">
        <v>126</v>
      </c>
      <c r="F16" s="33" t="n">
        <v>1620</v>
      </c>
      <c r="G16" s="33" t="n">
        <v>2730</v>
      </c>
      <c r="H16" s="33" t="n">
        <v>2886</v>
      </c>
      <c r="I16" s="34" t="n">
        <v>0.385</v>
      </c>
      <c r="J16" s="9"/>
    </row>
    <row r="17" customFormat="false" ht="15" hidden="false" customHeight="false" outlineLevel="0" collapsed="false">
      <c r="A17" s="10" t="n">
        <v>14</v>
      </c>
      <c r="B17" s="10" t="s">
        <v>125</v>
      </c>
      <c r="C17" s="10" t="s">
        <v>11</v>
      </c>
      <c r="D17" s="9" t="s">
        <v>135</v>
      </c>
      <c r="E17" s="9" t="s">
        <v>102</v>
      </c>
      <c r="F17" s="33" t="n">
        <v>1270</v>
      </c>
      <c r="G17" s="33" t="n">
        <v>2250</v>
      </c>
      <c r="H17" s="33" t="n">
        <v>2886</v>
      </c>
      <c r="I17" s="34" t="n">
        <v>0.339</v>
      </c>
      <c r="J17" s="9"/>
    </row>
    <row r="18" customFormat="false" ht="15" hidden="false" customHeight="false" outlineLevel="0" collapsed="false">
      <c r="A18" s="10" t="n">
        <v>15</v>
      </c>
      <c r="B18" s="10" t="s">
        <v>125</v>
      </c>
      <c r="C18" s="10" t="s">
        <v>8</v>
      </c>
      <c r="D18" s="9" t="s">
        <v>135</v>
      </c>
      <c r="E18" s="9" t="s">
        <v>126</v>
      </c>
      <c r="F18" s="33" t="n">
        <v>1880</v>
      </c>
      <c r="G18" s="33" t="n">
        <v>2760</v>
      </c>
      <c r="H18" s="33" t="n">
        <v>2886</v>
      </c>
      <c r="I18" s="34" t="n">
        <v>0.305</v>
      </c>
      <c r="J18" s="9"/>
    </row>
    <row r="19" customFormat="false" ht="15" hidden="false" customHeight="false" outlineLevel="0" collapsed="false">
      <c r="A19" s="10" t="n">
        <v>16</v>
      </c>
      <c r="B19" s="10" t="s">
        <v>125</v>
      </c>
      <c r="C19" s="10" t="s">
        <v>8</v>
      </c>
      <c r="D19" s="9" t="s">
        <v>135</v>
      </c>
      <c r="E19" s="9" t="s">
        <v>102</v>
      </c>
      <c r="F19" s="33" t="n">
        <v>1710</v>
      </c>
      <c r="G19" s="33" t="n">
        <v>2610</v>
      </c>
      <c r="H19" s="33" t="n">
        <v>2886</v>
      </c>
      <c r="I19" s="34" t="n">
        <v>0.312</v>
      </c>
      <c r="J19" s="9"/>
    </row>
    <row r="20" customFormat="false" ht="15" hidden="false" customHeight="false" outlineLevel="0" collapsed="false">
      <c r="A20" s="10" t="n">
        <v>17</v>
      </c>
      <c r="B20" s="10" t="s">
        <v>125</v>
      </c>
      <c r="C20" s="10" t="s">
        <v>8</v>
      </c>
      <c r="D20" s="9" t="s">
        <v>74</v>
      </c>
      <c r="E20" s="9" t="s">
        <v>102</v>
      </c>
      <c r="F20" s="33" t="n">
        <v>6130</v>
      </c>
      <c r="G20" s="33" t="n">
        <v>8400</v>
      </c>
      <c r="H20" s="33" t="n">
        <v>4558</v>
      </c>
      <c r="I20" s="34" t="n">
        <v>0.498</v>
      </c>
      <c r="J20" s="9"/>
    </row>
    <row r="21" customFormat="false" ht="15" hidden="false" customHeight="false" outlineLevel="0" collapsed="false">
      <c r="A21" s="10" t="n">
        <v>18</v>
      </c>
      <c r="B21" s="10" t="s">
        <v>125</v>
      </c>
      <c r="C21" s="10" t="s">
        <v>8</v>
      </c>
      <c r="D21" s="9" t="s">
        <v>74</v>
      </c>
      <c r="E21" s="9" t="s">
        <v>126</v>
      </c>
      <c r="F21" s="33" t="n">
        <v>8230</v>
      </c>
      <c r="G21" s="33" t="n">
        <v>10600</v>
      </c>
      <c r="H21" s="33" t="n">
        <v>4558</v>
      </c>
      <c r="I21" s="34" t="n">
        <v>0.514</v>
      </c>
      <c r="J21" s="9"/>
    </row>
    <row r="22" customFormat="false" ht="15" hidden="false" customHeight="false" outlineLevel="0" collapsed="false">
      <c r="A22" s="10" t="n">
        <v>19</v>
      </c>
      <c r="B22" s="10" t="s">
        <v>125</v>
      </c>
      <c r="C22" s="10" t="s">
        <v>8</v>
      </c>
      <c r="D22" s="9" t="s">
        <v>74</v>
      </c>
      <c r="E22" s="9" t="s">
        <v>136</v>
      </c>
      <c r="F22" s="33" t="n">
        <v>3610</v>
      </c>
      <c r="G22" s="33" t="n">
        <v>8070</v>
      </c>
      <c r="H22" s="33" t="n">
        <v>4558</v>
      </c>
      <c r="I22" s="34" t="n">
        <v>0.977</v>
      </c>
      <c r="J22" s="9" t="s">
        <v>137</v>
      </c>
    </row>
    <row r="23" customFormat="false" ht="15" hidden="false" customHeight="false" outlineLevel="0" collapsed="false">
      <c r="A23" s="10" t="n">
        <v>20</v>
      </c>
      <c r="B23" s="10" t="s">
        <v>128</v>
      </c>
      <c r="C23" s="10" t="s">
        <v>8</v>
      </c>
      <c r="D23" s="9" t="s">
        <v>130</v>
      </c>
      <c r="E23" s="9" t="s">
        <v>131</v>
      </c>
      <c r="F23" s="33" t="n">
        <v>-0.0284</v>
      </c>
      <c r="G23" s="33" t="n">
        <v>203</v>
      </c>
      <c r="H23" s="33" t="n">
        <v>4558</v>
      </c>
      <c r="I23" s="34" t="n">
        <v>0.0445</v>
      </c>
      <c r="J23" s="9" t="s">
        <v>138</v>
      </c>
    </row>
    <row r="24" customFormat="false" ht="15" hidden="false" customHeight="false" outlineLevel="0" collapsed="false">
      <c r="A24" s="10" t="n">
        <v>21</v>
      </c>
      <c r="B24" s="10" t="s">
        <v>125</v>
      </c>
      <c r="C24" s="10" t="s">
        <v>5</v>
      </c>
      <c r="D24" s="9" t="s">
        <v>139</v>
      </c>
      <c r="E24" s="9" t="s">
        <v>96</v>
      </c>
      <c r="F24" s="33" t="n">
        <v>92.4</v>
      </c>
      <c r="G24" s="33" t="n">
        <v>2000</v>
      </c>
      <c r="H24" s="33" t="n">
        <v>5046</v>
      </c>
      <c r="I24" s="34" t="n">
        <v>0.378</v>
      </c>
      <c r="J24" s="9" t="s">
        <v>140</v>
      </c>
    </row>
    <row r="25" customFormat="false" ht="15" hidden="false" customHeight="false" outlineLevel="0" collapsed="false">
      <c r="A25" s="14" t="n">
        <v>22</v>
      </c>
      <c r="B25" s="14" t="s">
        <v>128</v>
      </c>
      <c r="C25" s="14" t="s">
        <v>5</v>
      </c>
      <c r="D25" s="13" t="s">
        <v>141</v>
      </c>
      <c r="E25" s="13" t="s">
        <v>96</v>
      </c>
      <c r="F25" s="35" t="n">
        <v>8500</v>
      </c>
      <c r="G25" s="35" t="n">
        <v>9200</v>
      </c>
      <c r="H25" s="35" t="n">
        <v>5046</v>
      </c>
      <c r="I25" s="36" t="n">
        <v>0.139</v>
      </c>
      <c r="J25" s="13" t="s">
        <v>142</v>
      </c>
    </row>
    <row r="26" customFormat="false" ht="15" hidden="false" customHeight="false" outlineLevel="0" collapsed="false">
      <c r="A26" s="10" t="n">
        <v>23</v>
      </c>
      <c r="B26" s="10" t="s">
        <v>125</v>
      </c>
      <c r="C26" s="10" t="s">
        <v>5</v>
      </c>
      <c r="D26" s="9" t="s">
        <v>139</v>
      </c>
      <c r="E26" s="9" t="s">
        <v>97</v>
      </c>
      <c r="F26" s="33" t="n">
        <v>-26.2</v>
      </c>
      <c r="G26" s="33" t="n">
        <v>1840</v>
      </c>
      <c r="H26" s="33" t="n">
        <v>5046</v>
      </c>
      <c r="I26" s="34" t="n">
        <v>0.371</v>
      </c>
      <c r="J26" s="9"/>
    </row>
    <row r="27" customFormat="false" ht="15" hidden="false" customHeight="false" outlineLevel="0" collapsed="false">
      <c r="A27" s="14" t="n">
        <v>24</v>
      </c>
      <c r="B27" s="14" t="s">
        <v>128</v>
      </c>
      <c r="C27" s="14" t="s">
        <v>5</v>
      </c>
      <c r="D27" s="13" t="s">
        <v>141</v>
      </c>
      <c r="E27" s="13" t="s">
        <v>97</v>
      </c>
      <c r="F27" s="35" t="n">
        <v>16</v>
      </c>
      <c r="G27" s="35" t="n">
        <v>616</v>
      </c>
      <c r="H27" s="35" t="n">
        <v>5046</v>
      </c>
      <c r="I27" s="36" t="n">
        <v>0.119</v>
      </c>
      <c r="J27" s="13" t="s">
        <v>143</v>
      </c>
    </row>
    <row r="28" customFormat="false" ht="15" hidden="false" customHeight="false" outlineLevel="0" collapsed="false">
      <c r="A28" s="10" t="n">
        <v>25</v>
      </c>
      <c r="B28" s="10" t="s">
        <v>125</v>
      </c>
      <c r="C28" s="10" t="s">
        <v>5</v>
      </c>
      <c r="D28" s="9" t="s">
        <v>139</v>
      </c>
      <c r="E28" s="9" t="s">
        <v>98</v>
      </c>
      <c r="F28" s="33" t="n">
        <v>-3.18</v>
      </c>
      <c r="G28" s="33" t="n">
        <v>1880</v>
      </c>
      <c r="H28" s="33" t="n">
        <v>5046</v>
      </c>
      <c r="I28" s="34" t="n">
        <v>0.373</v>
      </c>
      <c r="J28" s="9"/>
    </row>
    <row r="29" customFormat="false" ht="15" hidden="false" customHeight="false" outlineLevel="0" collapsed="false">
      <c r="A29" s="14" t="n">
        <v>26</v>
      </c>
      <c r="B29" s="14" t="s">
        <v>128</v>
      </c>
      <c r="C29" s="14" t="s">
        <v>5</v>
      </c>
      <c r="D29" s="13" t="s">
        <v>141</v>
      </c>
      <c r="E29" s="13" t="s">
        <v>98</v>
      </c>
      <c r="F29" s="35" t="n">
        <v>99.8</v>
      </c>
      <c r="G29" s="35" t="n">
        <v>706</v>
      </c>
      <c r="H29" s="35" t="n">
        <v>5046</v>
      </c>
      <c r="I29" s="36" t="n">
        <v>0.12</v>
      </c>
      <c r="J29" s="13" t="s">
        <v>144</v>
      </c>
    </row>
    <row r="30" customFormat="false" ht="15" hidden="false" customHeight="false" outlineLevel="0" collapsed="false">
      <c r="A30" s="10" t="n">
        <v>27</v>
      </c>
      <c r="B30" s="10" t="s">
        <v>125</v>
      </c>
      <c r="C30" s="10" t="s">
        <v>5</v>
      </c>
      <c r="D30" s="9" t="s">
        <v>139</v>
      </c>
      <c r="E30" s="9" t="s">
        <v>99</v>
      </c>
      <c r="F30" s="33" t="n">
        <v>34.8</v>
      </c>
      <c r="G30" s="33" t="n">
        <v>1920</v>
      </c>
      <c r="H30" s="33" t="n">
        <v>5046</v>
      </c>
      <c r="I30" s="34" t="n">
        <v>0.375</v>
      </c>
      <c r="J30" s="9"/>
    </row>
    <row r="31" customFormat="false" ht="15" hidden="false" customHeight="false" outlineLevel="0" collapsed="false">
      <c r="A31" s="14" t="n">
        <v>28</v>
      </c>
      <c r="B31" s="14" t="s">
        <v>128</v>
      </c>
      <c r="C31" s="14" t="s">
        <v>5</v>
      </c>
      <c r="D31" s="13" t="s">
        <v>141</v>
      </c>
      <c r="E31" s="13" t="s">
        <v>99</v>
      </c>
      <c r="F31" s="35" t="n">
        <v>2000</v>
      </c>
      <c r="G31" s="35" t="n">
        <v>2640</v>
      </c>
      <c r="H31" s="35" t="n">
        <v>5046</v>
      </c>
      <c r="I31" s="36" t="n">
        <v>0.128</v>
      </c>
      <c r="J31" s="13" t="s">
        <v>145</v>
      </c>
    </row>
    <row r="32" customFormat="false" ht="15" hidden="false" customHeight="false" outlineLevel="0" collapsed="false">
      <c r="A32" s="10" t="n">
        <v>29</v>
      </c>
      <c r="B32" s="10" t="s">
        <v>125</v>
      </c>
      <c r="C32" s="10" t="s">
        <v>5</v>
      </c>
      <c r="D32" s="9" t="s">
        <v>139</v>
      </c>
      <c r="E32" s="9" t="s">
        <v>100</v>
      </c>
      <c r="F32" s="33" t="n">
        <v>10.3</v>
      </c>
      <c r="G32" s="33" t="n">
        <v>2060</v>
      </c>
      <c r="H32" s="33" t="n">
        <v>5046</v>
      </c>
      <c r="I32" s="34" t="n">
        <v>0.406</v>
      </c>
      <c r="J32" s="9"/>
    </row>
    <row r="33" customFormat="false" ht="15" hidden="false" customHeight="false" outlineLevel="0" collapsed="false">
      <c r="A33" s="14" t="n">
        <v>30</v>
      </c>
      <c r="B33" s="14" t="s">
        <v>128</v>
      </c>
      <c r="C33" s="14" t="s">
        <v>5</v>
      </c>
      <c r="D33" s="13" t="s">
        <v>141</v>
      </c>
      <c r="E33" s="13" t="s">
        <v>100</v>
      </c>
      <c r="F33" s="35" t="n">
        <v>1060</v>
      </c>
      <c r="G33" s="35" t="n">
        <v>1730</v>
      </c>
      <c r="H33" s="35" t="n">
        <v>5046</v>
      </c>
      <c r="I33" s="36" t="n">
        <v>0.133</v>
      </c>
      <c r="J33" s="13" t="s">
        <v>146</v>
      </c>
    </row>
    <row r="34" customFormat="false" ht="15" hidden="false" customHeight="false" outlineLevel="0" collapsed="false">
      <c r="A34" s="14" t="n">
        <v>31</v>
      </c>
      <c r="B34" s="14" t="s">
        <v>128</v>
      </c>
      <c r="C34" s="14" t="s">
        <v>5</v>
      </c>
      <c r="D34" s="13" t="s">
        <v>141</v>
      </c>
      <c r="E34" s="13" t="s">
        <v>102</v>
      </c>
      <c r="F34" s="35" t="n">
        <v>754</v>
      </c>
      <c r="G34" s="35" t="n">
        <v>1280</v>
      </c>
      <c r="H34" s="35" t="n">
        <v>3403</v>
      </c>
      <c r="I34" s="36" t="n">
        <v>0.156</v>
      </c>
      <c r="J34" s="13" t="s">
        <v>147</v>
      </c>
    </row>
    <row r="35" customFormat="false" ht="15" hidden="false" customHeight="false" outlineLevel="0" collapsed="false">
      <c r="A35" s="14" t="n">
        <v>32</v>
      </c>
      <c r="B35" s="14" t="s">
        <v>128</v>
      </c>
      <c r="C35" s="14" t="s">
        <v>5</v>
      </c>
      <c r="D35" s="13" t="s">
        <v>141</v>
      </c>
      <c r="E35" s="13" t="s">
        <v>101</v>
      </c>
      <c r="F35" s="35" t="n">
        <v>661</v>
      </c>
      <c r="G35" s="35" t="n">
        <v>1350</v>
      </c>
      <c r="H35" s="35" t="n">
        <v>5046</v>
      </c>
      <c r="I35" s="36" t="n">
        <v>0.137</v>
      </c>
      <c r="J35" s="13" t="s">
        <v>148</v>
      </c>
    </row>
    <row r="36" customFormat="false" ht="15" hidden="false" customHeight="false" outlineLevel="0" collapsed="false">
      <c r="A36" s="10" t="n">
        <v>33</v>
      </c>
      <c r="B36" s="10" t="s">
        <v>125</v>
      </c>
      <c r="C36" s="10" t="s">
        <v>5</v>
      </c>
      <c r="D36" s="9" t="s">
        <v>149</v>
      </c>
      <c r="E36" s="9" t="s">
        <v>96</v>
      </c>
      <c r="F36" s="33" t="n">
        <v>2820</v>
      </c>
      <c r="G36" s="33" t="n">
        <v>4540</v>
      </c>
      <c r="H36" s="33" t="n">
        <v>5046</v>
      </c>
      <c r="I36" s="34" t="n">
        <v>0.341</v>
      </c>
      <c r="J36" s="9" t="s">
        <v>142</v>
      </c>
    </row>
    <row r="37" customFormat="false" ht="15" hidden="false" customHeight="false" outlineLevel="0" collapsed="false">
      <c r="A37" s="10" t="n">
        <v>34</v>
      </c>
      <c r="B37" s="10" t="s">
        <v>125</v>
      </c>
      <c r="C37" s="10" t="s">
        <v>5</v>
      </c>
      <c r="D37" s="9" t="s">
        <v>149</v>
      </c>
      <c r="E37" s="9" t="s">
        <v>97</v>
      </c>
      <c r="F37" s="33" t="n">
        <v>1400</v>
      </c>
      <c r="G37" s="33" t="n">
        <v>3100</v>
      </c>
      <c r="H37" s="33" t="n">
        <v>5046</v>
      </c>
      <c r="I37" s="34" t="n">
        <v>0.335</v>
      </c>
      <c r="J37" s="9" t="s">
        <v>150</v>
      </c>
    </row>
    <row r="38" customFormat="false" ht="15" hidden="false" customHeight="false" outlineLevel="0" collapsed="false">
      <c r="A38" s="10" t="n">
        <v>35</v>
      </c>
      <c r="B38" s="10" t="s">
        <v>125</v>
      </c>
      <c r="C38" s="10" t="s">
        <v>5</v>
      </c>
      <c r="D38" s="9" t="s">
        <v>149</v>
      </c>
      <c r="E38" s="9" t="s">
        <v>98</v>
      </c>
      <c r="F38" s="33" t="n">
        <v>2090</v>
      </c>
      <c r="G38" s="33" t="n">
        <v>3350</v>
      </c>
      <c r="H38" s="33" t="n">
        <v>3871</v>
      </c>
      <c r="I38" s="34" t="n">
        <v>0.326</v>
      </c>
      <c r="J38" s="9" t="s">
        <v>151</v>
      </c>
    </row>
    <row r="39" customFormat="false" ht="15" hidden="false" customHeight="false" outlineLevel="0" collapsed="false">
      <c r="A39" s="10" t="n">
        <v>36</v>
      </c>
      <c r="B39" s="10" t="s">
        <v>125</v>
      </c>
      <c r="C39" s="10" t="s">
        <v>5</v>
      </c>
      <c r="D39" s="9" t="s">
        <v>149</v>
      </c>
      <c r="E39" s="9" t="s">
        <v>99</v>
      </c>
      <c r="F39" s="33" t="n">
        <v>2160</v>
      </c>
      <c r="G39" s="33" t="n">
        <v>3400</v>
      </c>
      <c r="H39" s="33" t="n">
        <v>3871</v>
      </c>
      <c r="I39" s="34" t="n">
        <v>0.322</v>
      </c>
      <c r="J39" s="9" t="s">
        <v>145</v>
      </c>
    </row>
    <row r="40" customFormat="false" ht="15" hidden="false" customHeight="false" outlineLevel="0" collapsed="false">
      <c r="A40" s="10" t="n">
        <v>37</v>
      </c>
      <c r="B40" s="10" t="s">
        <v>125</v>
      </c>
      <c r="C40" s="10" t="s">
        <v>5</v>
      </c>
      <c r="D40" s="9" t="s">
        <v>149</v>
      </c>
      <c r="E40" s="9" t="s">
        <v>100</v>
      </c>
      <c r="F40" s="33" t="n">
        <v>1270</v>
      </c>
      <c r="G40" s="33" t="n">
        <v>2550</v>
      </c>
      <c r="H40" s="33" t="n">
        <v>3871</v>
      </c>
      <c r="I40" s="34" t="n">
        <v>0.331</v>
      </c>
      <c r="J40" s="9" t="s">
        <v>146</v>
      </c>
    </row>
    <row r="41" customFormat="false" ht="15" hidden="false" customHeight="false" outlineLevel="0" collapsed="false">
      <c r="A41" s="10" t="n">
        <v>38</v>
      </c>
      <c r="B41" s="10" t="s">
        <v>125</v>
      </c>
      <c r="C41" s="10" t="s">
        <v>5</v>
      </c>
      <c r="D41" s="9" t="s">
        <v>149</v>
      </c>
      <c r="E41" s="9" t="s">
        <v>101</v>
      </c>
      <c r="F41" s="33" t="n">
        <v>1450</v>
      </c>
      <c r="G41" s="33" t="n">
        <v>2760</v>
      </c>
      <c r="H41" s="33" t="n">
        <v>3871</v>
      </c>
      <c r="I41" s="34" t="n">
        <v>0.339</v>
      </c>
      <c r="J41" s="9" t="s">
        <v>148</v>
      </c>
    </row>
    <row r="42" customFormat="false" ht="15" hidden="false" customHeight="false" outlineLevel="0" collapsed="false">
      <c r="A42" s="10" t="n">
        <v>39</v>
      </c>
      <c r="B42" s="10" t="s">
        <v>125</v>
      </c>
      <c r="C42" s="10" t="s">
        <v>5</v>
      </c>
      <c r="D42" s="9" t="s">
        <v>149</v>
      </c>
      <c r="E42" s="9" t="s">
        <v>102</v>
      </c>
      <c r="F42" s="33" t="n">
        <v>2390</v>
      </c>
      <c r="G42" s="33" t="n">
        <v>3870</v>
      </c>
      <c r="H42" s="33" t="n">
        <v>3871</v>
      </c>
      <c r="I42" s="34" t="n">
        <v>0.384</v>
      </c>
      <c r="J42" s="9" t="s">
        <v>147</v>
      </c>
    </row>
    <row r="44" customFormat="false" ht="15" hidden="false" customHeight="false" outlineLevel="0" collapsed="false">
      <c r="A44" s="6" t="s">
        <v>152</v>
      </c>
    </row>
    <row r="45" customFormat="false" ht="15" hidden="false" customHeight="false" outlineLevel="0" collapsed="false">
      <c r="A45" s="6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2026-10-08T09:02:51Z</dcterms:created>
  <dc:creator>openpyxl</dc:creator>
  <dc:description/>
  <dc:language>en-US</dc:language>
  <cp:lastModifiedBy/>
  <dcterms:modified xsi:type="dcterms:W3CDTF">2026-10-08T09:02:53Z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